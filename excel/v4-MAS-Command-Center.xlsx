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gent Routing" sheetId="2" state="visible" r:id="rId4"/>
    <sheet name="Cost Model" sheetId="3" state="visible" r:id="rId5"/>
    <sheet name="Framework Map" sheetId="4" state="visible" r:id="rId6"/>
    <sheet name="Gates" sheetId="5" state="visible" r:id="rId7"/>
    <sheet name="Re-entry" sheetId="6" state="visible" r:id="rId8"/>
    <sheet name="Invalidation" sheetId="7" state="visible" r:id="rId9"/>
    <sheet name="Meta-Learning" sheetId="8" state="visible" r:id="rId10"/>
    <sheet name="Project Log" sheetId="9" state="visible" r:id="rId11"/>
    <sheet name="Pipeline" sheetId="10" state="visible" r:id="rId12"/>
    <sheet name="Revenue Forecast" sheetId="11" state="visible" r:id="rId13"/>
    <sheet name="Assumpti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<sst xmlns="http://schemas.openxmlformats.org/spreadsheetml/2006/main" count="583" uniqueCount="410">
  <si>
    <t xml:space="preserve">v4 DECISION ENGINE — COMMAND CENTER</t>
  </si>
  <si>
    <t xml:space="preserve">SYSTEM OVERVIEW</t>
  </si>
  <si>
    <t xml:space="preserve">PHASE PIPELINE</t>
  </si>
  <si>
    <t xml:space="preserve">COST SUMMARY</t>
  </si>
  <si>
    <t xml:space="preserve">Total Agents</t>
  </si>
  <si>
    <t xml:space="preserve">P0: Classify</t>
  </si>
  <si>
    <t xml:space="preserve">Cost/Project (cached)</t>
  </si>
  <si>
    <t xml:space="preserve">Total Frameworks</t>
  </si>
  <si>
    <t xml:space="preserve">P1: Hypotheses</t>
  </si>
  <si>
    <t xml:space="preserve">Cost/Project (no cache)</t>
  </si>
  <si>
    <t xml:space="preserve">Convergence Gates</t>
  </si>
  <si>
    <t xml:space="preserve">P1b: Gauntlet</t>
  </si>
  <si>
    <t xml:space="preserve">Cache Savings %</t>
  </si>
  <si>
    <t xml:space="preserve">Re-entry Triggers</t>
  </si>
  <si>
    <t xml:space="preserve">P2: Audit</t>
  </si>
  <si>
    <t xml:space="preserve">Solo Monthly Cost</t>
  </si>
  <si>
    <t xml:space="preserve">Active Projects</t>
  </si>
  <si>
    <t xml:space="preserve">P3: Strategy</t>
  </si>
  <si>
    <t xml:space="preserve">SaaS Monthly (100u)</t>
  </si>
  <si>
    <t xml:space="preserve">Avg Brier Score</t>
  </si>
  <si>
    <t xml:space="preserve">P3b: SQI</t>
  </si>
  <si>
    <t xml:space="preserve">P4: Monitor</t>
  </si>
  <si>
    <t xml:space="preserve">P5: Report</t>
  </si>
  <si>
    <t xml:space="preserve">PIPELINE SUMMARY</t>
  </si>
  <si>
    <t xml:space="preserve">REVENUE (from P&amp;L)</t>
  </si>
  <si>
    <t xml:space="preserve">Total Prospects</t>
  </si>
  <si>
    <t xml:space="preserve">Month 1</t>
  </si>
  <si>
    <t xml:space="preserve">Discovery Calls</t>
  </si>
  <si>
    <t xml:space="preserve">Month 2</t>
  </si>
  <si>
    <t xml:space="preserve">Proposals Sent</t>
  </si>
  <si>
    <t xml:space="preserve">Month 3</t>
  </si>
  <si>
    <t xml:space="preserve">Won</t>
  </si>
  <si>
    <t xml:space="preserve">Q1 Total</t>
  </si>
  <si>
    <t xml:space="preserve">Pipeline Value</t>
  </si>
  <si>
    <t xml:space="preserve">Monthly Costs</t>
  </si>
  <si>
    <t xml:space="preserve">Win Rate</t>
  </si>
  <si>
    <t xml:space="preserve">Net Q1</t>
  </si>
  <si>
    <t xml:space="preserve">Phase</t>
  </si>
  <si>
    <t xml:space="preserve">Agent Name</t>
  </si>
  <si>
    <t xml:space="preserve">Primary Model</t>
  </si>
  <si>
    <t xml:space="preserve">Fallback Model</t>
  </si>
  <si>
    <t xml:space="preserve">Alt Provider</t>
  </si>
  <si>
    <t xml:space="preserve">Max Tokens</t>
  </si>
  <si>
    <t xml:space="preserve">Temperature</t>
  </si>
  <si>
    <t xml:space="preserve">Thinking Budget</t>
  </si>
  <si>
    <t xml:space="preserve">Input $/MTok</t>
  </si>
  <si>
    <t xml:space="preserve">Output $/MTok</t>
  </si>
  <si>
    <t xml:space="preserve">Priority</t>
  </si>
  <si>
    <t xml:space="preserve">ClassifyAgent</t>
  </si>
  <si>
    <t xml:space="preserve">claude-haiku-4-5</t>
  </si>
  <si>
    <t xml:space="preserve">claude-sonnet-4-6</t>
  </si>
  <si>
    <t xml:space="preserve">gpt-4.1-nano (legacy)</t>
  </si>
  <si>
    <t xml:space="preserve">Speed</t>
  </si>
  <si>
    <t xml:space="preserve">HypothesesAgent</t>
  </si>
  <si>
    <t xml:space="preserve">claude-opus-4-6</t>
  </si>
  <si>
    <t xml:space="preserve">gpt-4.1 (legacy)</t>
  </si>
  <si>
    <t xml:space="preserve">Depth</t>
  </si>
  <si>
    <t xml:space="preserve">GauntletAgent</t>
  </si>
  <si>
    <t xml:space="preserve">gpt-4.1-mini (legacy)</t>
  </si>
  <si>
    <t xml:space="preserve">Rigor</t>
  </si>
  <si>
    <t xml:space="preserve">AuditAgent</t>
  </si>
  <si>
    <t xml:space="preserve">gpt-4o</t>
  </si>
  <si>
    <t xml:space="preserve">Accuracy</t>
  </si>
  <si>
    <t xml:space="preserve">StrategyAgent</t>
  </si>
  <si>
    <t xml:space="preserve">SQIAgent</t>
  </si>
  <si>
    <t xml:space="preserve">Objectivity</t>
  </si>
  <si>
    <t xml:space="preserve">MonitorAgent</t>
  </si>
  <si>
    <t xml:space="preserve">gpt-4o-mini</t>
  </si>
  <si>
    <t xml:space="preserve">Structure</t>
  </si>
  <si>
    <t xml:space="preserve">ReportAgent</t>
  </si>
  <si>
    <t xml:space="preserve">Quality</t>
  </si>
  <si>
    <t xml:space="preserve">Source: Anthropic pricing page, April 2026. Opus 4.6: $5/$25 MTok. Sonnet 4.6: $3/$15. Haiku 4.5: $1/$5.</t>
  </si>
  <si>
    <t xml:space="preserve">Model</t>
  </si>
  <si>
    <t xml:space="preserve">Avg Input Tok</t>
  </si>
  <si>
    <t xml:space="preserve">Avg Output Tok</t>
  </si>
  <si>
    <t xml:space="preserve">Cache %</t>
  </si>
  <si>
    <t xml:space="preserve">Batch Disc %</t>
  </si>
  <si>
    <t xml:space="preserve">Cost/Call (cached)</t>
  </si>
  <si>
    <t xml:space="preserve">Cost/Call (no cache)</t>
  </si>
  <si>
    <t xml:space="preserve">Savings</t>
  </si>
  <si>
    <t xml:space="preserve">TOTAL PER PROJECT</t>
  </si>
  <si>
    <t xml:space="preserve">SOLO CONSULTING SCENARIO</t>
  </si>
  <si>
    <t xml:space="preserve">Projects/month</t>
  </si>
  <si>
    <t xml:space="preserve">Monthly API cost</t>
  </si>
  <si>
    <t xml:space="preserve">SAAS SCENARIO</t>
  </si>
  <si>
    <t xml:space="preserve">Users/month</t>
  </si>
  <si>
    <t xml:space="preserve">Projects/user</t>
  </si>
  <si>
    <t xml:space="preserve">Subscription rev ($99/u)</t>
  </si>
  <si>
    <t xml:space="preserve">API Gross Margin</t>
  </si>
  <si>
    <t xml:space="preserve">Net margin (w/ $2K infra)</t>
  </si>
  <si>
    <t xml:space="preserve">#</t>
  </si>
  <si>
    <t xml:space="preserve">Framework</t>
  </si>
  <si>
    <t xml:space="preserve">Category</t>
  </si>
  <si>
    <t xml:space="preserve">P0</t>
  </si>
  <si>
    <t xml:space="preserve">P1</t>
  </si>
  <si>
    <t xml:space="preserve">P1b</t>
  </si>
  <si>
    <t xml:space="preserve">P2</t>
  </si>
  <si>
    <t xml:space="preserve">P3</t>
  </si>
  <si>
    <t xml:space="preserve">P3b</t>
  </si>
  <si>
    <t xml:space="preserve">P4</t>
  </si>
  <si>
    <t xml:space="preserve">P5</t>
  </si>
  <si>
    <t xml:space="preserve">Total</t>
  </si>
  <si>
    <t xml:space="preserve">STEELMAN</t>
  </si>
  <si>
    <t xml:space="preserve">Stress Test</t>
  </si>
  <si>
    <t xml:space="preserve">✓</t>
  </si>
  <si>
    <t xml:space="preserve">PREMORTEM</t>
  </si>
  <si>
    <t xml:space="preserve">DOUBLE_CRUX</t>
  </si>
  <si>
    <t xml:space="preserve">BAYES_LITE</t>
  </si>
  <si>
    <t xml:space="preserve">Bayesian</t>
  </si>
  <si>
    <t xml:space="preserve">PROBABILISTIC_SCENARIO</t>
  </si>
  <si>
    <t xml:space="preserve">EXPECTED_VALUE</t>
  </si>
  <si>
    <t xml:space="preserve">VOI</t>
  </si>
  <si>
    <t xml:space="preserve">THOMPSON_SAMPLING</t>
  </si>
  <si>
    <t xml:space="preserve">FMEA</t>
  </si>
  <si>
    <t xml:space="preserve">Risk</t>
  </si>
  <si>
    <t xml:space="preserve">REAL_OPTIONS</t>
  </si>
  <si>
    <t xml:space="preserve">REGRET_MINIMIZATION</t>
  </si>
  <si>
    <t xml:space="preserve">ENBS</t>
  </si>
  <si>
    <t xml:space="preserve">SENSEMAKING</t>
  </si>
  <si>
    <t xml:space="preserve">Strategic</t>
  </si>
  <si>
    <t xml:space="preserve">CYNEFIN</t>
  </si>
  <si>
    <t xml:space="preserve">OODA</t>
  </si>
  <si>
    <t xml:space="preserve">MECE</t>
  </si>
  <si>
    <t xml:space="preserve">Structural</t>
  </si>
  <si>
    <t xml:space="preserve">ISSUE_TREE</t>
  </si>
  <si>
    <t xml:space="preserve">FIVE_FORCES</t>
  </si>
  <si>
    <t xml:space="preserve">Competitive</t>
  </si>
  <si>
    <t xml:space="preserve">SWOT</t>
  </si>
  <si>
    <t xml:space="preserve">REQUISITE_VARIETY</t>
  </si>
  <si>
    <t xml:space="preserve">Systems</t>
  </si>
  <si>
    <t xml:space="preserve">SYSTEMS_DYNAMICS</t>
  </si>
  <si>
    <t xml:space="preserve">STAKEHOLDER_MAPPING</t>
  </si>
  <si>
    <t xml:space="preserve">Social</t>
  </si>
  <si>
    <t xml:space="preserve">DELPHI</t>
  </si>
  <si>
    <t xml:space="preserve">DQ_SPIDER</t>
  </si>
  <si>
    <t xml:space="preserve">DECISION_JOURNAL</t>
  </si>
  <si>
    <t xml:space="preserve">BRIER_SCORING</t>
  </si>
  <si>
    <t xml:space="preserve">Calibration</t>
  </si>
  <si>
    <t xml:space="preserve">CALIBRATION_TRAINING</t>
  </si>
  <si>
    <t xml:space="preserve">MONTE_CARLO</t>
  </si>
  <si>
    <t xml:space="preserve">Simulation</t>
  </si>
  <si>
    <t xml:space="preserve">SENSITIVITY</t>
  </si>
  <si>
    <t xml:space="preserve">SISTEMICO_RELACIONAL</t>
  </si>
  <si>
    <t xml:space="preserve">CATEGORY SUMMARY</t>
  </si>
  <si>
    <t xml:space="preserve">Gate</t>
  </si>
  <si>
    <t xml:space="preserve">Min Conf</t>
  </si>
  <si>
    <t xml:space="preserve">BF</t>
  </si>
  <si>
    <t xml:space="preserve">DQ Min</t>
  </si>
  <si>
    <t xml:space="preserve">Required Fields</t>
  </si>
  <si>
    <t xml:space="preserve">Retries</t>
  </si>
  <si>
    <t xml:space="preserve">Python Logic</t>
  </si>
  <si>
    <t xml:space="preserve">G0</t>
  </si>
  <si>
    <t xml:space="preserve">domain, bf, variety_gaps, ooda, dq</t>
  </si>
  <si>
    <t xml:space="preserve">bf &gt;= 10 and dq["frame"] &gt;= 60</t>
  </si>
  <si>
    <t xml:space="preserve">G1</t>
  </si>
  <si>
    <t xml:space="preserve">N/A</t>
  </si>
  <si>
    <t xml:space="preserve">hypotheses (≥3), sealed=true</t>
  </si>
  <si>
    <t xml:space="preserve">len(hyps) &gt;= 3 and sealed</t>
  </si>
  <si>
    <t xml:space="preserve">G2</t>
  </si>
  <si>
    <t xml:space="preserve">fmea (≥1), top_findings (≥1)</t>
  </si>
  <si>
    <t xml:space="preserve">len(fmea) &gt;= 1</t>
  </si>
  <si>
    <t xml:space="preserve">G3</t>
  </si>
  <si>
    <t xml:space="preserve">strategies (≥1), verdicts (≥1)</t>
  </si>
  <si>
    <t xml:space="preserve">len(strategies) &gt;= 1</t>
  </si>
  <si>
    <t xml:space="preserve">G4</t>
  </si>
  <si>
    <t xml:space="preserve">tracking_plan, checkpoints</t>
  </si>
  <si>
    <t xml:space="preserve">tracking_plan is not None</t>
  </si>
  <si>
    <t xml:space="preserve">G5</t>
  </si>
  <si>
    <t xml:space="preserve">narrative, appendices</t>
  </si>
  <si>
    <t xml:space="preserve">narrative is not None</t>
  </si>
  <si>
    <t xml:space="preserve">Trigger</t>
  </si>
  <si>
    <t xml:space="preserve">Condition</t>
  </si>
  <si>
    <t xml:space="preserve">Target Phase</t>
  </si>
  <si>
    <t xml:space="preserve">Detection</t>
  </si>
  <si>
    <t xml:space="preserve">Auto/Manual</t>
  </si>
  <si>
    <t xml:space="preserve">Invalidates</t>
  </si>
  <si>
    <t xml:space="preserve">Severity</t>
  </si>
  <si>
    <t xml:space="preserve">R1</t>
  </si>
  <si>
    <t xml:space="preserve">Assumption &gt;2σ</t>
  </si>
  <si>
    <t xml:space="preserve">Posterior vs prior</t>
  </si>
  <si>
    <t xml:space="preserve">Auto</t>
  </si>
  <si>
    <t xml:space="preserve">P1→P5</t>
  </si>
  <si>
    <t xml:space="preserve">High</t>
  </si>
  <si>
    <t xml:space="preserve">R2</t>
  </si>
  <si>
    <t xml:space="preserve">Domain reclassified</t>
  </si>
  <si>
    <t xml:space="preserve">Cynefin shift</t>
  </si>
  <si>
    <t xml:space="preserve">P0→P5</t>
  </si>
  <si>
    <t xml:space="preserve">Critical</t>
  </si>
  <si>
    <t xml:space="preserve">R3</t>
  </si>
  <si>
    <t xml:space="preserve">Scope change &gt;30%</t>
  </si>
  <si>
    <t xml:space="preserve">Brief diff</t>
  </si>
  <si>
    <t xml:space="preserve">Manual</t>
  </si>
  <si>
    <t xml:space="preserve">R4</t>
  </si>
  <si>
    <t xml:space="preserve">Portfolio ρ&gt;0.5</t>
  </si>
  <si>
    <t xml:space="preserve">Gauntlet ρ</t>
  </si>
  <si>
    <t xml:space="preserve">R5</t>
  </si>
  <si>
    <t xml:space="preserve">SQI &lt;60 on strategy</t>
  </si>
  <si>
    <t xml:space="preserve">SQI output</t>
  </si>
  <si>
    <t xml:space="preserve">P3→P5</t>
  </si>
  <si>
    <t xml:space="preserve">R6</t>
  </si>
  <si>
    <t xml:space="preserve">External data invalidates</t>
  </si>
  <si>
    <t xml:space="preserve">Data feed</t>
  </si>
  <si>
    <t xml:space="preserve">P2→P5</t>
  </si>
  <si>
    <t xml:space="preserve">Medium</t>
  </si>
  <si>
    <t xml:space="preserve">R7</t>
  </si>
  <si>
    <t xml:space="preserve">Stakeholder change</t>
  </si>
  <si>
    <t xml:space="preserve">DQ re-score</t>
  </si>
  <si>
    <t xml:space="preserve">R8</t>
  </si>
  <si>
    <t xml:space="preserve">Deadline exceeded</t>
  </si>
  <si>
    <t xml:space="preserve">Timer</t>
  </si>
  <si>
    <t xml:space="preserve">Current→P5</t>
  </si>
  <si>
    <t xml:space="preserve">Low</t>
  </si>
  <si>
    <t xml:space="preserve">Source</t>
  </si>
  <si>
    <t xml:space="preserve">Invalidated Outputs</t>
  </si>
  <si>
    <t xml:space="preserve">Count</t>
  </si>
  <si>
    <t xml:space="preserve">brief</t>
  </si>
  <si>
    <t xml:space="preserve">classify, hypotheses, gauntlet, audit, strategy, sqi, monitor, report</t>
  </si>
  <si>
    <t xml:space="preserve">data</t>
  </si>
  <si>
    <t xml:space="preserve">audit, strategy, sqi</t>
  </si>
  <si>
    <t xml:space="preserve">hypotheses, gauntlet, audit, strategy, sqi, monitor, report</t>
  </si>
  <si>
    <t xml:space="preserve">gauntlet, audit, strategy, sqi, monitor, report</t>
  </si>
  <si>
    <t xml:space="preserve">strategy, sqi, monitor, report</t>
  </si>
  <si>
    <t xml:space="preserve">sqi, monitor, report</t>
  </si>
  <si>
    <t xml:space="preserve">report</t>
  </si>
  <si>
    <t xml:space="preserve">(none)</t>
  </si>
  <si>
    <t xml:space="preserve">META-LEARNING TRACKER</t>
  </si>
  <si>
    <t xml:space="preserve">PREDICTION CALIBRATION (50 slots)</t>
  </si>
  <si>
    <t xml:space="preserve">Project</t>
  </si>
  <si>
    <t xml:space="preserve">Hypothesis</t>
  </si>
  <si>
    <t xml:space="preserve">Predicted P</t>
  </si>
  <si>
    <t xml:space="preserve">Actual (0/1)</t>
  </si>
  <si>
    <t xml:space="preserve">Squared Error</t>
  </si>
  <si>
    <t xml:space="preserve">Confidence Bin</t>
  </si>
  <si>
    <t xml:space="preserve">CALIBRATION SUMMARY</t>
  </si>
  <si>
    <t xml:space="preserve">Total Predictions</t>
  </si>
  <si>
    <t xml:space="preserve">Brier Score (lower=better)</t>
  </si>
  <si>
    <t xml:space="preserve">Perfect calibration</t>
  </si>
  <si>
    <t xml:space="preserve">Random baseline</t>
  </si>
  <si>
    <t xml:space="preserve">Skill Score</t>
  </si>
  <si>
    <t xml:space="preserve">FRAMEWORK EFFECTIVENESS</t>
  </si>
  <si>
    <t xml:space="preserve">Uses</t>
  </si>
  <si>
    <t xml:space="preserve">Avg Brier</t>
  </si>
  <si>
    <t xml:space="preserve">Contribution</t>
  </si>
  <si>
    <t xml:space="preserve">Domain</t>
  </si>
  <si>
    <t xml:space="preserve">Start</t>
  </si>
  <si>
    <t xml:space="preserve">End</t>
  </si>
  <si>
    <t xml:space="preserve">Days</t>
  </si>
  <si>
    <t xml:space="preserve">Phases</t>
  </si>
  <si>
    <t xml:space="preserve">Re-entries</t>
  </si>
  <si>
    <t xml:space="preserve">Revenue</t>
  </si>
  <si>
    <t xml:space="preserve">API Cost</t>
  </si>
  <si>
    <t xml:space="preserve">Net Margin</t>
  </si>
  <si>
    <t xml:space="preserve">Status</t>
  </si>
  <si>
    <t xml:space="preserve">Client</t>
  </si>
  <si>
    <t xml:space="preserve">SUMMARY</t>
  </si>
  <si>
    <t xml:space="preserve">Total projects</t>
  </si>
  <si>
    <t xml:space="preserve">Avg days</t>
  </si>
  <si>
    <t xml:space="preserve">Total revenue</t>
  </si>
  <si>
    <t xml:space="preserve">Total API cost</t>
  </si>
  <si>
    <t xml:space="preserve">Avg margin</t>
  </si>
  <si>
    <t xml:space="preserve">Company</t>
  </si>
  <si>
    <t xml:space="preserve">Contact</t>
  </si>
  <si>
    <t xml:space="preserve">First Touch</t>
  </si>
  <si>
    <t xml:space="preserve">Last Touch</t>
  </si>
  <si>
    <t xml:space="preserve">Stage</t>
  </si>
  <si>
    <t xml:space="preserve">Deal Value</t>
  </si>
  <si>
    <t xml:space="preserve">Probability</t>
  </si>
  <si>
    <t xml:space="preserve">Next Action</t>
  </si>
  <si>
    <t xml:space="preserve">Close Date</t>
  </si>
  <si>
    <t xml:space="preserve">Value</t>
  </si>
  <si>
    <t xml:space="preserve">Weighted</t>
  </si>
  <si>
    <t xml:space="preserve">Lead</t>
  </si>
  <si>
    <t xml:space="preserve">Outreach</t>
  </si>
  <si>
    <t xml:space="preserve">Discovery</t>
  </si>
  <si>
    <t xml:space="preserve">Proposal</t>
  </si>
  <si>
    <t xml:space="preserve">Negotiation</t>
  </si>
  <si>
    <t xml:space="preserve">Lost</t>
  </si>
  <si>
    <t xml:space="preserve">Total pipeline</t>
  </si>
  <si>
    <t xml:space="preserve">CONVERSION RATES</t>
  </si>
  <si>
    <t xml:space="preserve">Lead → Discovery</t>
  </si>
  <si>
    <t xml:space="preserve">Discovery → Proposal</t>
  </si>
  <si>
    <t xml:space="preserve">Proposal → Won</t>
  </si>
  <si>
    <t xml:space="preserve">Overall Win Rate</t>
  </si>
  <si>
    <t xml:space="preserve">12-MONTH REVENUE FORECAST &amp; P&amp;L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</si>
  <si>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</si>
  <si>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</si>
  <si>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</si>
  <si>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</si>
  <si>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</si>
  <si>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</si>
  <si>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</si>
  <si>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</si>
  <si>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</si>
  <si>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</si>
  <si>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</si>
  <si>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</si>
  <si>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</si>
  <si>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REVENUE</t>
  </si>
  <si>
    <t xml:space="preserve">Consulting projects</t>
  </si>
  <si>
    <t xml:space="preserve">Monthly retainers</t>
  </si>
  <si>
    <t xml:space="preserve">Expert network calls</t>
  </si>
  <si>
    <t xml:space="preserve">Platform work (Upwork)</t>
  </si>
  <si>
    <t xml:space="preserve">TOTAL REVENUE</t>
  </si>
  <si>
    <t xml:space="preserve">COSTS</t>
  </si>
  <si>
    <t xml:space="preserve">API costs (Anthropic/OpenAI)</t>
  </si>
  <si>
    <t xml:space="preserve">LinkedIn Sales Navigator</t>
  </si>
  <si>
    <t xml:space="preserve">Cold email tools</t>
  </si>
  <si>
    <t xml:space="preserve">Wise + Stripe fees</t>
  </si>
  <si>
    <t xml:space="preserve">LLC + registered agent</t>
  </si>
  <si>
    <t xml:space="preserve">CPA / accounting</t>
  </si>
  <si>
    <t xml:space="preserve">Health insurance</t>
  </si>
  <si>
    <t xml:space="preserve">Software (Zoom, CRM, etc.)</t>
  </si>
  <si>
    <t xml:space="preserve">VA (from month 4)</t>
  </si>
  <si>
    <t xml:space="preserve">TOTAL COSTS</t>
  </si>
  <si>
    <t xml:space="preserve">NET INCOME</t>
  </si>
  <si>
    <t xml:space="preserve">Net Margin %</t>
  </si>
  <si>
    <t xml:space="preserve">CUMULATIVE CASH</t>
  </si>
  <si>
    <t xml:space="preserve">ASSUMPTIONS &amp; DATA SOURCES</t>
  </si>
  <si>
    <t xml:space="preserve">Assumption</t>
  </si>
  <si>
    <t xml:space="preserve">Date Verified</t>
  </si>
  <si>
    <t xml:space="preserve">Claude Opus 4.6 input price</t>
  </si>
  <si>
    <t xml:space="preserve">$5.00/MTok</t>
  </si>
  <si>
    <t xml:space="preserve">platform.claude.com/docs/en/about-claude/pricing</t>
  </si>
  <si>
    <t xml:space="preserve">Apr 2026</t>
  </si>
  <si>
    <t xml:space="preserve">Claude Opus 4.6 output price</t>
  </si>
  <si>
    <t xml:space="preserve">$25.00/MTok</t>
  </si>
  <si>
    <t xml:space="preserve">Claude Sonnet 4.6 input price</t>
  </si>
  <si>
    <t xml:space="preserve">$3.00/MTok</t>
  </si>
  <si>
    <t xml:space="preserve">Claude Sonnet 4.6 output price</t>
  </si>
  <si>
    <t xml:space="preserve">$15.00/MTok</t>
  </si>
  <si>
    <t xml:space="preserve">Claude Haiku 4.5 input price</t>
  </si>
  <si>
    <t xml:space="preserve">$1.00/MTok</t>
  </si>
  <si>
    <t xml:space="preserve">Claude Haiku 4.5 output price</t>
  </si>
  <si>
    <t xml:space="preserve">Cache read discount</t>
  </si>
  <si>
    <t xml:space="preserve">90%</t>
  </si>
  <si>
    <t xml:space="preserve">Anthropic docs — cache_control: ephemeral</t>
  </si>
  <si>
    <t xml:space="preserve">Batch API discount</t>
  </si>
  <si>
    <t xml:space="preserve">50%</t>
  </si>
  <si>
    <t xml:space="preserve">Anthropic docs — batch processing</t>
  </si>
  <si>
    <t xml:space="preserve">LinkedIn connection limit (free)</t>
  </si>
  <si>
    <t xml:space="preserve">~100/week</t>
  </si>
  <si>
    <t xml:space="preserve">Konnector, Cleverly 2026 benchmarks</t>
  </si>
  <si>
    <t xml:space="preserve">LinkedIn connection limit (Sales Nav)</t>
  </si>
  <si>
    <t xml:space="preserve">150-250/week</t>
  </si>
  <si>
    <t xml:space="preserve">Konnector, LinkedSDR 2026</t>
  </si>
  <si>
    <t xml:space="preserve">LinkedIn acceptance rate</t>
  </si>
  <si>
    <t xml:space="preserve">30-45%</t>
  </si>
  <si>
    <t xml:space="preserve">Cleverly 2026, Botdog study (16,492 requests)</t>
  </si>
  <si>
    <t xml:space="preserve">LinkedIn DM reply rate</t>
  </si>
  <si>
    <t xml:space="preserve">5-20%</t>
  </si>
  <si>
    <t xml:space="preserve">Belkins (9.36%), Expandi (10.3%), SalesBread (20%)</t>
  </si>
  <si>
    <t xml:space="preserve">Cold email reply rate (consulting)</t>
  </si>
  <si>
    <t xml:space="preserve">7.88%</t>
  </si>
  <si>
    <t xml:space="preserve">Digital Bloom 2025 Hook×ICP×Industry Analysis</t>
  </si>
  <si>
    <t xml:space="preserve">Nov 2025</t>
  </si>
  <si>
    <t xml:space="preserve">Cold email reply rate (average)</t>
  </si>
  <si>
    <t xml:space="preserve">3.43%</t>
  </si>
  <si>
    <t xml:space="preserve">Instantly 2026 Benchmark Report</t>
  </si>
  <si>
    <t xml:space="preserve">Jan 2026</t>
  </si>
  <si>
    <t xml:space="preserve">Timeline hook reply rate</t>
  </si>
  <si>
    <t xml:space="preserve">10.67%</t>
  </si>
  <si>
    <t xml:space="preserve">Digital Bloom 2025</t>
  </si>
  <si>
    <t xml:space="preserve">Solo AI consultant hourly rate</t>
  </si>
  <si>
    <t xml:space="preserve">$100-500/hr</t>
  </si>
  <si>
    <t xml:space="preserve">Leanware, AIDOLS, Hyperion Consulting 2026</t>
  </si>
  <si>
    <t xml:space="preserve">Expert network rate (expert pay)</t>
  </si>
  <si>
    <t xml:space="preserve">$250-800/hr</t>
  </si>
  <si>
    <t xml:space="preserve">GLG, AlphaSights, IQNetwork guide</t>
  </si>
  <si>
    <t xml:space="preserve">Stripe Atlas LLC formation</t>
  </si>
  <si>
    <t xml:space="preserve">$500 one-time</t>
  </si>
  <si>
    <t xml:space="preserve">stripe.com/atlas, multiple reviews</t>
  </si>
  <si>
    <t xml:space="preserve">Wyoming LLC annual fee</t>
  </si>
  <si>
    <t xml:space="preserve">$60/year</t>
  </si>
  <si>
    <t xml:space="preserve">llcuniversity.com, statebusinesscompliance.com</t>
  </si>
  <si>
    <t xml:space="preserve">Sales Navigator Core pricing</t>
  </si>
  <si>
    <t xml:space="preserve">$100-120/month</t>
  </si>
  <si>
    <t xml:space="preserve">Lobstr, Emelia, Postiv pricing guides</t>
  </si>
  <si>
    <t xml:space="preserve">Wise Business FX rate</t>
  </si>
  <si>
    <t xml:space="preserve">0.35-1%</t>
  </si>
  <si>
    <t xml:space="preserve">wise.com/us/blog/wise-business-pricing</t>
  </si>
  <si>
    <t xml:space="preserve">Harvey AI valuation</t>
  </si>
  <si>
    <t xml:space="preserve">$11B</t>
  </si>
  <si>
    <t xml:space="preserve">CNBC, Bloomberg — March 25, 2026 round</t>
  </si>
  <si>
    <t xml:space="preserve">Mar 2026</t>
  </si>
  <si>
    <t xml:space="preserve">Hebbia valuation</t>
  </si>
  <si>
    <t xml:space="preserve">$700M (Jul 2024)</t>
  </si>
  <si>
    <t xml:space="preserve">TechCrunch — Series B, a16z led</t>
  </si>
  <si>
    <t xml:space="preserve">Jul 2024</t>
  </si>
  <si>
    <t xml:space="preserve">CrewAI total funding</t>
  </si>
  <si>
    <t xml:space="preserve">$18M confirmed</t>
  </si>
  <si>
    <t xml:space="preserve">PitchBook, boldstart + Insight Partners</t>
  </si>
  <si>
    <t xml:space="preserve">Oct 2024</t>
  </si>
  <si>
    <t xml:space="preserve">Harvard/BCG study sample</t>
  </si>
  <si>
    <t xml:space="preserve">758 consultants</t>
  </si>
  <si>
    <t xml:space="preserve">Dell'Acqua et al., Organization Science 2026</t>
  </si>
  <si>
    <t xml:space="preserve">2026</t>
  </si>
  <si>
    <t xml:space="preserve">Consulting market size</t>
  </si>
  <si>
    <t xml:space="preserve">$335-520B</t>
  </si>
  <si>
    <t xml:space="preserve">Mordor Intelligence, Fortune Business Insights</t>
  </si>
  <si>
    <t xml:space="preserve">AI consulting market size</t>
  </si>
  <si>
    <t xml:space="preserve">$11-14B</t>
  </si>
  <si>
    <t xml:space="preserve">Future Market Insights, Business Research Insights</t>
  </si>
  <si>
    <t xml:space="preserve">AI agents market size</t>
  </si>
  <si>
    <t xml:space="preserve">$7.3-7.8B</t>
  </si>
  <si>
    <t xml:space="preserve">Grand View Research, Fortune Business Insights</t>
  </si>
  <si>
    <t xml:space="preserve">2025</t>
  </si>
  <si>
    <t xml:space="preserve">LangGraph version</t>
  </si>
  <si>
    <t xml:space="preserve">1.0 GA</t>
  </si>
  <si>
    <t xml:space="preserve">changelog.langchain.com — Oct 22, 2025</t>
  </si>
  <si>
    <t xml:space="preserve">Oct 2025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</si>
</sst>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\$#,##0.00"/>
    <numFmt numFmtId="167" formatCode="0.0%"/>
    <numFmt numFmtId="168" formatCode="General"/>
    <numFmt numFmtId="169" formatCode="\$#,##0"/>
    <numFmt numFmtId="170" formatCode="\$#,##0.0000"/>
    <numFmt numFmtId="171" formatCode="0.0000"/>
    <numFmt numFmtId="172" formatCode="yyyy\-mm\-dd"/>
    <numFmt numFmtId="173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9488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4748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1F5EE"/>
        <bgColor rgb="FFD1FAE5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E2E2"/>
        </patternFill>
      </fill>
    </dxf>
    <dxf>
      <fill>
        <patternFill>
          <bgColor rgb="FFD1FAE5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EF3C7"/>
      <rgbColor rgb="FFE1F5E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85A30"/>
      <rgbColor rgb="FF64748B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D3" s="2" t="s">
        <v>2</v>
      </c>
      <c r="G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COUNTA('Agent Routing'!A2:A9)</f>
        <v>8</v>
      </c>
      <c r="D4" s="3" t="s">
        <v>5</v>
      </c>
      <c r="E4" s="5" t="str">
        <f aca="false">'Agent Routing'!C2</f>
        <v>claude-haiku-4-5</v>
      </c>
      <c r="G4" s="3" t="s">
        <v>6</v>
      </c>
      <c r="H4" s="6" t="n">
        <f aca="false">'Cost Model'!I10</f>
        <v>0.2256</v>
      </c>
    </row>
    <row r="5" customFormat="false" ht="15" hidden="false" customHeight="false" outlineLevel="0" collapsed="false">
      <c r="A5" s="3" t="s">
        <v>7</v>
      </c>
      <c r="B5" s="4" t="n">
        <f aca="false">COUNTA('Framework Map'!A2:A31)</f>
        <v>30</v>
      </c>
      <c r="D5" s="3" t="s">
        <v>8</v>
      </c>
      <c r="E5" s="5" t="str">
        <f aca="false">'Agent Routing'!C3</f>
        <v>claude-opus-4-6</v>
      </c>
      <c r="G5" s="3" t="s">
        <v>9</v>
      </c>
      <c r="H5" s="6" t="n">
        <f aca="false">'Cost Model'!J10</f>
        <v>0.5745</v>
      </c>
    </row>
    <row r="6" customFormat="false" ht="15" hidden="false" customHeight="false" outlineLevel="0" collapsed="false">
      <c r="A6" s="3" t="s">
        <v>10</v>
      </c>
      <c r="B6" s="4" t="n">
        <f aca="false">COUNTA(Gates!A2:A7)</f>
        <v>6</v>
      </c>
      <c r="D6" s="3" t="s">
        <v>11</v>
      </c>
      <c r="E6" s="5" t="str">
        <f aca="false">'Agent Routing'!C4</f>
        <v>claude-sonnet-4-6</v>
      </c>
      <c r="G6" s="3" t="s">
        <v>12</v>
      </c>
      <c r="H6" s="7" t="n">
        <f aca="false">'Cost Model'!K10</f>
        <v>0.607310704960836</v>
      </c>
    </row>
    <row r="7" customFormat="false" ht="15" hidden="false" customHeight="false" outlineLevel="0" collapsed="false">
      <c r="A7" s="3" t="s">
        <v>13</v>
      </c>
      <c r="B7" s="4" t="n">
        <f aca="false">COUNTA('Re-entry'!A2:A9)</f>
        <v>8</v>
      </c>
      <c r="D7" s="3" t="s">
        <v>14</v>
      </c>
      <c r="E7" s="5" t="str">
        <f aca="false">'Agent Routing'!C5</f>
        <v>claude-sonnet-4-6</v>
      </c>
      <c r="G7" s="3" t="s">
        <v>15</v>
      </c>
      <c r="H7" s="6" t="n">
        <f aca="false">'Cost Model'!I14</f>
        <v>1.7235</v>
      </c>
    </row>
    <row r="8" customFormat="false" ht="15" hidden="false" customHeight="false" outlineLevel="0" collapsed="false">
      <c r="A8" s="3" t="s">
        <v>16</v>
      </c>
      <c r="B8" s="4" t="n">
        <f aca="false">COUNTIF('Project Log'!L2:L31,"Active")</f>
        <v>0</v>
      </c>
      <c r="D8" s="3" t="s">
        <v>17</v>
      </c>
      <c r="E8" s="5" t="str">
        <f aca="false">'Agent Routing'!C6</f>
        <v>claude-opus-4-6</v>
      </c>
      <c r="G8" s="3" t="s">
        <v>18</v>
      </c>
      <c r="H8" s="6" t="n">
        <f aca="false">'Cost Model'!I17</f>
        <v>0</v>
      </c>
    </row>
    <row r="9" customFormat="false" ht="15" hidden="false" customHeight="false" outlineLevel="0" collapsed="false">
      <c r="A9" s="3" t="s">
        <v>19</v>
      </c>
      <c r="B9" s="4" t="str">
        <f aca="false">IFERROR(AVERAGE('Meta-Learning'!F5:F54),"-")</f>
        <v>-</v>
      </c>
      <c r="D9" s="3" t="s">
        <v>20</v>
      </c>
      <c r="E9" s="5" t="str">
        <f aca="false">'Agent Routing'!C7</f>
        <v>claude-sonnet-4-6</v>
      </c>
    </row>
    <row r="10" customFormat="false" ht="15" hidden="false" customHeight="false" outlineLevel="0" collapsed="false">
      <c r="D10" s="3" t="s">
        <v>21</v>
      </c>
      <c r="E10" s="5" t="str">
        <f aca="false">'Agent Routing'!C8</f>
        <v>claude-sonnet-4-6</v>
      </c>
    </row>
    <row r="11" customFormat="false" ht="15" hidden="false" customHeight="false" outlineLevel="0" collapsed="false">
      <c r="D11" s="3" t="s">
        <v>22</v>
      </c>
      <c r="E11" s="5" t="str">
        <f aca="false">'Agent Routing'!C9</f>
        <v>claude-sonnet-4-6</v>
      </c>
    </row>
    <row r="13" customFormat="false" ht="15" hidden="false" customHeight="false" outlineLevel="0" collapsed="false">
      <c r="A13" s="2" t="s">
        <v>23</v>
      </c>
      <c r="D13" s="2" t="s">
        <v>24</v>
      </c>
    </row>
    <row r="14" customFormat="false" ht="15" hidden="false" customHeight="false" outlineLevel="0" collapsed="false">
      <c r="A14" s="3" t="s">
        <v>25</v>
      </c>
      <c r="B14" s="8" t="n">
        <f aca="false">COUNTA(Pipeline!A2:A50)-COUNTBLANK(Pipeline!A2:A50)</f>
        <v>-49</v>
      </c>
      <c r="D14" s="3" t="s">
        <v>26</v>
      </c>
      <c r="E14" s="9" t="n">
        <f aca="false">'Revenue Forecast'!B18</f>
        <v>200</v>
      </c>
    </row>
    <row r="15" customFormat="false" ht="15" hidden="false" customHeight="false" outlineLevel="0" collapsed="false">
      <c r="A15" s="3" t="s">
        <v>27</v>
      </c>
      <c r="B15" s="8" t="n">
        <f aca="false">COUNTIF(Pipeline!F2:F50,"Discovery")</f>
        <v>0</v>
      </c>
      <c r="D15" s="3" t="s">
        <v>28</v>
      </c>
      <c r="E15" s="9" t="n">
        <f aca="false">'Revenue Forecast'!C18</f>
        <v>200</v>
      </c>
    </row>
    <row r="16" customFormat="false" ht="15" hidden="false" customHeight="false" outlineLevel="0" collapsed="false">
      <c r="A16" s="3" t="s">
        <v>29</v>
      </c>
      <c r="B16" s="8" t="n">
        <f aca="false">COUNTIF(Pipeline!F2:F50,"Proposal")</f>
        <v>0</v>
      </c>
      <c r="D16" s="3" t="s">
        <v>30</v>
      </c>
      <c r="E16" s="9" t="n">
        <f aca="false">'Revenue Forecast'!D18</f>
        <v>200</v>
      </c>
    </row>
    <row r="17" customFormat="false" ht="15" hidden="false" customHeight="false" outlineLevel="0" collapsed="false">
      <c r="A17" s="3" t="s">
        <v>31</v>
      </c>
      <c r="B17" s="8" t="n">
        <f aca="false">COUNTIF(Pipeline!F2:F50,"Won")</f>
        <v>0</v>
      </c>
      <c r="D17" s="3" t="s">
        <v>32</v>
      </c>
      <c r="E17" s="9" t="n">
        <f aca="false">'Revenue Forecast'!E18</f>
        <v>200</v>
      </c>
    </row>
    <row r="18" customFormat="false" ht="15" hidden="false" customHeight="false" outlineLevel="0" collapsed="false">
      <c r="A18" s="3" t="s">
        <v>33</v>
      </c>
      <c r="B18" s="9" t="n">
        <f aca="false">SUMIF(Pipeline!F2:F50,"&lt;&gt;Lost",Pipeline!G2:G50)</f>
        <v>0</v>
      </c>
      <c r="D18" s="3" t="s">
        <v>34</v>
      </c>
      <c r="E18" s="9" t="n">
        <f aca="false">'Revenue Forecast'!B25</f>
        <v>0</v>
      </c>
    </row>
    <row r="19" customFormat="false" ht="15" hidden="false" customHeight="false" outlineLevel="0" collapsed="false">
      <c r="A19" s="3" t="s">
        <v>35</v>
      </c>
      <c r="B19" s="7" t="str">
        <f aca="false">IFERROR(COUNTIF(Pipeline!F2:F50,"Won")/(COUNTIF(Pipeline!F2:F50,"Won")+COUNTIF(Pipeline!F2:F50,"Lost")),"-")</f>
        <v>-</v>
      </c>
      <c r="D19" s="3" t="s">
        <v>36</v>
      </c>
      <c r="E19" s="9" t="n">
        <f aca="false">'Revenue Forecast'!E27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</row>
    <row r="2" customFormat="false" ht="15" hidden="false" customHeight="false" outlineLevel="0" collapsed="false">
      <c r="A2" s="11" t="s">
        <v>5</v>
      </c>
      <c r="B2" s="11" t="s">
        <v>48</v>
      </c>
      <c r="C2" s="12" t="s">
        <v>49</v>
      </c>
      <c r="D2" s="12" t="s">
        <v>50</v>
      </c>
      <c r="E2" s="12" t="s">
        <v>51</v>
      </c>
      <c r="F2" s="12" t="n">
        <v>2000</v>
      </c>
      <c r="G2" s="13" t="n">
        <v>0.2</v>
      </c>
      <c r="H2" s="12"/>
      <c r="I2" s="14" t="n">
        <v>1</v>
      </c>
      <c r="J2" s="14" t="n">
        <v>5</v>
      </c>
      <c r="K2" s="11" t="s">
        <v>52</v>
      </c>
    </row>
    <row r="3" customFormat="false" ht="15" hidden="false" customHeight="false" outlineLevel="0" collapsed="false">
      <c r="A3" s="11" t="s">
        <v>8</v>
      </c>
      <c r="B3" s="11" t="s">
        <v>53</v>
      </c>
      <c r="C3" s="12" t="s">
        <v>54</v>
      </c>
      <c r="D3" s="12" t="s">
        <v>50</v>
      </c>
      <c r="E3" s="12" t="s">
        <v>55</v>
      </c>
      <c r="F3" s="12" t="n">
        <v>4000</v>
      </c>
      <c r="G3" s="13" t="n">
        <v>0.4</v>
      </c>
      <c r="H3" s="12" t="n">
        <v>15000</v>
      </c>
      <c r="I3" s="14" t="n">
        <v>5</v>
      </c>
      <c r="J3" s="14" t="n">
        <v>25</v>
      </c>
      <c r="K3" s="11" t="s">
        <v>56</v>
      </c>
    </row>
    <row r="4" customFormat="false" ht="15" hidden="false" customHeight="false" outlineLevel="0" collapsed="false">
      <c r="A4" s="11" t="s">
        <v>11</v>
      </c>
      <c r="B4" s="11" t="s">
        <v>57</v>
      </c>
      <c r="C4" s="12" t="s">
        <v>50</v>
      </c>
      <c r="D4" s="12" t="s">
        <v>49</v>
      </c>
      <c r="E4" s="12" t="s">
        <v>58</v>
      </c>
      <c r="F4" s="12" t="n">
        <v>4000</v>
      </c>
      <c r="G4" s="13" t="n">
        <v>0.3</v>
      </c>
      <c r="H4" s="12" t="n">
        <v>10000</v>
      </c>
      <c r="I4" s="14" t="n">
        <v>3</v>
      </c>
      <c r="J4" s="14" t="n">
        <v>15</v>
      </c>
      <c r="K4" s="11" t="s">
        <v>59</v>
      </c>
    </row>
    <row r="5" customFormat="false" ht="15" hidden="false" customHeight="false" outlineLevel="0" collapsed="false">
      <c r="A5" s="11" t="s">
        <v>14</v>
      </c>
      <c r="B5" s="11" t="s">
        <v>60</v>
      </c>
      <c r="C5" s="12" t="s">
        <v>50</v>
      </c>
      <c r="D5" s="12" t="s">
        <v>49</v>
      </c>
      <c r="E5" s="12" t="s">
        <v>61</v>
      </c>
      <c r="F5" s="12" t="n">
        <v>4000</v>
      </c>
      <c r="G5" s="13" t="n">
        <v>0.3</v>
      </c>
      <c r="H5" s="12" t="n">
        <v>5000</v>
      </c>
      <c r="I5" s="14" t="n">
        <v>3</v>
      </c>
      <c r="J5" s="14" t="n">
        <v>15</v>
      </c>
      <c r="K5" s="11" t="s">
        <v>62</v>
      </c>
    </row>
    <row r="6" customFormat="false" ht="15" hidden="false" customHeight="false" outlineLevel="0" collapsed="false">
      <c r="A6" s="11" t="s">
        <v>17</v>
      </c>
      <c r="B6" s="11" t="s">
        <v>63</v>
      </c>
      <c r="C6" s="12" t="s">
        <v>54</v>
      </c>
      <c r="D6" s="12" t="s">
        <v>50</v>
      </c>
      <c r="E6" s="12" t="s">
        <v>55</v>
      </c>
      <c r="F6" s="12" t="n">
        <v>6000</v>
      </c>
      <c r="G6" s="13" t="n">
        <v>0.4</v>
      </c>
      <c r="H6" s="12" t="n">
        <v>20000</v>
      </c>
      <c r="I6" s="14" t="n">
        <v>5</v>
      </c>
      <c r="J6" s="14" t="n">
        <v>25</v>
      </c>
      <c r="K6" s="11" t="s">
        <v>56</v>
      </c>
    </row>
    <row r="7" customFormat="false" ht="15" hidden="false" customHeight="false" outlineLevel="0" collapsed="false">
      <c r="A7" s="11" t="s">
        <v>20</v>
      </c>
      <c r="B7" s="11" t="s">
        <v>64</v>
      </c>
      <c r="C7" s="12" t="s">
        <v>50</v>
      </c>
      <c r="D7" s="12" t="s">
        <v>49</v>
      </c>
      <c r="E7" s="12" t="s">
        <v>58</v>
      </c>
      <c r="F7" s="12" t="n">
        <v>4000</v>
      </c>
      <c r="G7" s="13" t="n">
        <v>0.2</v>
      </c>
      <c r="H7" s="12" t="n">
        <v>5000</v>
      </c>
      <c r="I7" s="14" t="n">
        <v>3</v>
      </c>
      <c r="J7" s="14" t="n">
        <v>15</v>
      </c>
      <c r="K7" s="11" t="s">
        <v>65</v>
      </c>
    </row>
    <row r="8" customFormat="false" ht="15" hidden="false" customHeight="false" outlineLevel="0" collapsed="false">
      <c r="A8" s="11" t="s">
        <v>21</v>
      </c>
      <c r="B8" s="11" t="s">
        <v>66</v>
      </c>
      <c r="C8" s="12" t="s">
        <v>50</v>
      </c>
      <c r="D8" s="12" t="s">
        <v>49</v>
      </c>
      <c r="E8" s="12" t="s">
        <v>67</v>
      </c>
      <c r="F8" s="12" t="n">
        <v>3000</v>
      </c>
      <c r="G8" s="13" t="n">
        <v>0.3</v>
      </c>
      <c r="H8" s="12"/>
      <c r="I8" s="14" t="n">
        <v>3</v>
      </c>
      <c r="J8" s="14" t="n">
        <v>15</v>
      </c>
      <c r="K8" s="11" t="s">
        <v>68</v>
      </c>
    </row>
    <row r="9" customFormat="false" ht="15" hidden="false" customHeight="false" outlineLevel="0" collapsed="false">
      <c r="A9" s="11" t="s">
        <v>22</v>
      </c>
      <c r="B9" s="11" t="s">
        <v>69</v>
      </c>
      <c r="C9" s="12" t="s">
        <v>50</v>
      </c>
      <c r="D9" s="12" t="s">
        <v>49</v>
      </c>
      <c r="E9" s="12" t="s">
        <v>55</v>
      </c>
      <c r="F9" s="12" t="n">
        <v>8000</v>
      </c>
      <c r="G9" s="13" t="n">
        <v>0.3</v>
      </c>
      <c r="H9" s="12" t="n">
        <v>10000</v>
      </c>
      <c r="I9" s="14" t="n">
        <v>3</v>
      </c>
      <c r="J9" s="14" t="n">
        <v>15</v>
      </c>
      <c r="K9" s="11" t="s">
        <v>70</v>
      </c>
    </row>
    <row r="11" customFormat="false" ht="15" hidden="false" customHeight="true" outlineLevel="0" collapsed="false">
      <c r="A11" s="15" t="s">
        <v>71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</sheetData>
  <mergeCells count="1"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0" t="s">
        <v>37</v>
      </c>
      <c r="B1" s="10" t="s">
        <v>72</v>
      </c>
      <c r="C1" s="10" t="s">
        <v>73</v>
      </c>
      <c r="D1" s="10" t="s">
        <v>74</v>
      </c>
      <c r="E1" s="10" t="s">
        <v>45</v>
      </c>
      <c r="F1" s="10" t="s">
        <v>46</v>
      </c>
      <c r="G1" s="10" t="s">
        <v>75</v>
      </c>
      <c r="H1" s="10" t="s">
        <v>76</v>
      </c>
      <c r="I1" s="10" t="s">
        <v>77</v>
      </c>
      <c r="J1" s="10" t="s">
        <v>78</v>
      </c>
      <c r="K1" s="10" t="s">
        <v>79</v>
      </c>
    </row>
    <row r="2" customFormat="false" ht="15" hidden="false" customHeight="false" outlineLevel="0" collapsed="false">
      <c r="A2" s="5" t="str">
        <f aca="false">'Agent Routing'!A2</f>
        <v>P0: Classify</v>
      </c>
      <c r="B2" s="5" t="str">
        <f aca="false">'Agent Routing'!C2</f>
        <v>claude-haiku-4-5</v>
      </c>
      <c r="C2" s="12" t="n">
        <v>3000</v>
      </c>
      <c r="D2" s="12" t="n">
        <v>1500</v>
      </c>
      <c r="E2" s="6" t="n">
        <f aca="false">'Agent Routing'!I2</f>
        <v>1</v>
      </c>
      <c r="F2" s="6" t="n">
        <f aca="false">'Agent Routing'!J2</f>
        <v>5</v>
      </c>
      <c r="G2" s="16" t="n">
        <v>0.9</v>
      </c>
      <c r="H2" s="16" t="n">
        <v>0.5</v>
      </c>
      <c r="I2" s="17" t="n">
        <f aca="false">(C2*E2*(1-G2)*(1-H2)/1000000)+(D2*F2*(1-H2)/1000000)</f>
        <v>0.0039</v>
      </c>
      <c r="J2" s="17" t="n">
        <f aca="false">(C2*E2/1000000)+(D2*F2/1000000)</f>
        <v>0.0105</v>
      </c>
      <c r="K2" s="18" t="n">
        <f aca="false">1-I2/J2</f>
        <v>0.628571428571429</v>
      </c>
    </row>
    <row r="3" customFormat="false" ht="15" hidden="false" customHeight="false" outlineLevel="0" collapsed="false">
      <c r="A3" s="5" t="str">
        <f aca="false">'Agent Routing'!A3</f>
        <v>P1: Hypotheses</v>
      </c>
      <c r="B3" s="5" t="str">
        <f aca="false">'Agent Routing'!C3</f>
        <v>claude-opus-4-6</v>
      </c>
      <c r="C3" s="12" t="n">
        <v>5000</v>
      </c>
      <c r="D3" s="12" t="n">
        <v>3000</v>
      </c>
      <c r="E3" s="6" t="n">
        <f aca="false">'Agent Routing'!I3</f>
        <v>5</v>
      </c>
      <c r="F3" s="6" t="n">
        <f aca="false">'Agent Routing'!J3</f>
        <v>25</v>
      </c>
      <c r="G3" s="16" t="n">
        <v>0.9</v>
      </c>
      <c r="H3" s="16" t="n">
        <v>0.5</v>
      </c>
      <c r="I3" s="17" t="n">
        <f aca="false">(C3*E3*(1-G3)*(1-H3)/1000000)+(D3*F3*(1-H3)/1000000)</f>
        <v>0.03875</v>
      </c>
      <c r="J3" s="17" t="n">
        <f aca="false">(C3*E3/1000000)+(D3*F3/1000000)</f>
        <v>0.1</v>
      </c>
      <c r="K3" s="18" t="n">
        <f aca="false">1-I3/J3</f>
        <v>0.6125</v>
      </c>
    </row>
    <row r="4" customFormat="false" ht="15" hidden="false" customHeight="false" outlineLevel="0" collapsed="false">
      <c r="A4" s="5" t="str">
        <f aca="false">'Agent Routing'!A4</f>
        <v>P1b: Gauntlet</v>
      </c>
      <c r="B4" s="5" t="str">
        <f aca="false">'Agent Routing'!C4</f>
        <v>claude-sonnet-4-6</v>
      </c>
      <c r="C4" s="12" t="n">
        <v>4000</v>
      </c>
      <c r="D4" s="12" t="n">
        <v>3000</v>
      </c>
      <c r="E4" s="6" t="n">
        <f aca="false">'Agent Routing'!I4</f>
        <v>3</v>
      </c>
      <c r="F4" s="6" t="n">
        <f aca="false">'Agent Routing'!J4</f>
        <v>15</v>
      </c>
      <c r="G4" s="16" t="n">
        <v>0.9</v>
      </c>
      <c r="H4" s="16" t="n">
        <v>0.5</v>
      </c>
      <c r="I4" s="17" t="n">
        <f aca="false">(C4*E4*(1-G4)*(1-H4)/1000000)+(D4*F4*(1-H4)/1000000)</f>
        <v>0.0231</v>
      </c>
      <c r="J4" s="17" t="n">
        <f aca="false">(C4*E4/1000000)+(D4*F4/1000000)</f>
        <v>0.057</v>
      </c>
      <c r="K4" s="18" t="n">
        <f aca="false">1-I4/J4</f>
        <v>0.594736842105263</v>
      </c>
    </row>
    <row r="5" customFormat="false" ht="15" hidden="false" customHeight="false" outlineLevel="0" collapsed="false">
      <c r="A5" s="5" t="str">
        <f aca="false">'Agent Routing'!A5</f>
        <v>P2: Audit</v>
      </c>
      <c r="B5" s="5" t="str">
        <f aca="false">'Agent Routing'!C5</f>
        <v>claude-sonnet-4-6</v>
      </c>
      <c r="C5" s="12" t="n">
        <v>6000</v>
      </c>
      <c r="D5" s="12" t="n">
        <v>3000</v>
      </c>
      <c r="E5" s="6" t="n">
        <f aca="false">'Agent Routing'!I5</f>
        <v>3</v>
      </c>
      <c r="F5" s="6" t="n">
        <f aca="false">'Agent Routing'!J5</f>
        <v>15</v>
      </c>
      <c r="G5" s="16" t="n">
        <v>0.9</v>
      </c>
      <c r="H5" s="16" t="n">
        <v>0.5</v>
      </c>
      <c r="I5" s="17" t="n">
        <f aca="false">(C5*E5*(1-G5)*(1-H5)/1000000)+(D5*F5*(1-H5)/1000000)</f>
        <v>0.0234</v>
      </c>
      <c r="J5" s="17" t="n">
        <f aca="false">(C5*E5/1000000)+(D5*F5/1000000)</f>
        <v>0.063</v>
      </c>
      <c r="K5" s="18" t="n">
        <f aca="false">1-I5/J5</f>
        <v>0.628571428571429</v>
      </c>
    </row>
    <row r="6" customFormat="false" ht="15" hidden="false" customHeight="false" outlineLevel="0" collapsed="false">
      <c r="A6" s="5" t="str">
        <f aca="false">'Agent Routing'!A6</f>
        <v>P3: Strategy</v>
      </c>
      <c r="B6" s="5" t="str">
        <f aca="false">'Agent Routing'!C6</f>
        <v>claude-opus-4-6</v>
      </c>
      <c r="C6" s="12" t="n">
        <v>8000</v>
      </c>
      <c r="D6" s="12" t="n">
        <v>4000</v>
      </c>
      <c r="E6" s="6" t="n">
        <f aca="false">'Agent Routing'!I6</f>
        <v>5</v>
      </c>
      <c r="F6" s="6" t="n">
        <f aca="false">'Agent Routing'!J6</f>
        <v>25</v>
      </c>
      <c r="G6" s="16" t="n">
        <v>0.9</v>
      </c>
      <c r="H6" s="16" t="n">
        <v>0.5</v>
      </c>
      <c r="I6" s="17" t="n">
        <f aca="false">(C6*E6*(1-G6)*(1-H6)/1000000)+(D6*F6*(1-H6)/1000000)</f>
        <v>0.052</v>
      </c>
      <c r="J6" s="17" t="n">
        <f aca="false">(C6*E6/1000000)+(D6*F6/1000000)</f>
        <v>0.14</v>
      </c>
      <c r="K6" s="18" t="n">
        <f aca="false">1-I6/J6</f>
        <v>0.628571428571429</v>
      </c>
    </row>
    <row r="7" customFormat="false" ht="15" hidden="false" customHeight="false" outlineLevel="0" collapsed="false">
      <c r="A7" s="5" t="str">
        <f aca="false">'Agent Routing'!A7</f>
        <v>P3b: SQI</v>
      </c>
      <c r="B7" s="5" t="str">
        <f aca="false">'Agent Routing'!C7</f>
        <v>claude-sonnet-4-6</v>
      </c>
      <c r="C7" s="12" t="n">
        <v>4000</v>
      </c>
      <c r="D7" s="12" t="n">
        <v>3000</v>
      </c>
      <c r="E7" s="6" t="n">
        <f aca="false">'Agent Routing'!I7</f>
        <v>3</v>
      </c>
      <c r="F7" s="6" t="n">
        <f aca="false">'Agent Routing'!J7</f>
        <v>15</v>
      </c>
      <c r="G7" s="16" t="n">
        <v>0.9</v>
      </c>
      <c r="H7" s="16" t="n">
        <v>0.5</v>
      </c>
      <c r="I7" s="17" t="n">
        <f aca="false">(C7*E7*(1-G7)*(1-H7)/1000000)+(D7*F7*(1-H7)/1000000)</f>
        <v>0.0231</v>
      </c>
      <c r="J7" s="17" t="n">
        <f aca="false">(C7*E7/1000000)+(D7*F7/1000000)</f>
        <v>0.057</v>
      </c>
      <c r="K7" s="18" t="n">
        <f aca="false">1-I7/J7</f>
        <v>0.594736842105263</v>
      </c>
    </row>
    <row r="8" customFormat="false" ht="15" hidden="false" customHeight="false" outlineLevel="0" collapsed="false">
      <c r="A8" s="5" t="str">
        <f aca="false">'Agent Routing'!A8</f>
        <v>P4: Monitor</v>
      </c>
      <c r="B8" s="5" t="str">
        <f aca="false">'Agent Routing'!C8</f>
        <v>claude-sonnet-4-6</v>
      </c>
      <c r="C8" s="12" t="n">
        <v>3000</v>
      </c>
      <c r="D8" s="12" t="n">
        <v>2000</v>
      </c>
      <c r="E8" s="6" t="n">
        <f aca="false">'Agent Routing'!I8</f>
        <v>3</v>
      </c>
      <c r="F8" s="6" t="n">
        <f aca="false">'Agent Routing'!J8</f>
        <v>15</v>
      </c>
      <c r="G8" s="16" t="n">
        <v>0.9</v>
      </c>
      <c r="H8" s="16" t="n">
        <v>0.5</v>
      </c>
      <c r="I8" s="17" t="n">
        <f aca="false">(C8*E8*(1-G8)*(1-H8)/1000000)+(D8*F8*(1-H8)/1000000)</f>
        <v>0.01545</v>
      </c>
      <c r="J8" s="17" t="n">
        <f aca="false">(C8*E8/1000000)+(D8*F8/1000000)</f>
        <v>0.039</v>
      </c>
      <c r="K8" s="18" t="n">
        <f aca="false">1-I8/J8</f>
        <v>0.603846153846154</v>
      </c>
    </row>
    <row r="9" customFormat="false" ht="15" hidden="false" customHeight="false" outlineLevel="0" collapsed="false">
      <c r="A9" s="5" t="str">
        <f aca="false">'Agent Routing'!A9</f>
        <v>P5: Report</v>
      </c>
      <c r="B9" s="5" t="str">
        <f aca="false">'Agent Routing'!C9</f>
        <v>claude-sonnet-4-6</v>
      </c>
      <c r="C9" s="12" t="n">
        <v>6000</v>
      </c>
      <c r="D9" s="12" t="n">
        <v>6000</v>
      </c>
      <c r="E9" s="6" t="n">
        <f aca="false">'Agent Routing'!I9</f>
        <v>3</v>
      </c>
      <c r="F9" s="6" t="n">
        <f aca="false">'Agent Routing'!J9</f>
        <v>15</v>
      </c>
      <c r="G9" s="16" t="n">
        <v>0.9</v>
      </c>
      <c r="H9" s="16" t="n">
        <v>0.5</v>
      </c>
      <c r="I9" s="17" t="n">
        <f aca="false">(C9*E9*(1-G9)*(1-H9)/1000000)+(D9*F9*(1-H9)/1000000)</f>
        <v>0.0459</v>
      </c>
      <c r="J9" s="17" t="n">
        <f aca="false">(C9*E9/1000000)+(D9*F9/1000000)</f>
        <v>0.108</v>
      </c>
      <c r="K9" s="18" t="n">
        <f aca="false">1-I9/J9</f>
        <v>0.575</v>
      </c>
    </row>
    <row r="10" customFormat="false" ht="26.85" hidden="false" customHeight="false" outlineLevel="0" collapsed="false">
      <c r="A10" s="2" t="s">
        <v>80</v>
      </c>
      <c r="I10" s="19" t="n">
        <f aca="false">SUM(I2:I9)</f>
        <v>0.2256</v>
      </c>
      <c r="J10" s="19" t="n">
        <f aca="false">SUM(J2:J9)</f>
        <v>0.5745</v>
      </c>
      <c r="K10" s="18" t="n">
        <f aca="false">1-I10/J10</f>
        <v>0.607310704960836</v>
      </c>
    </row>
    <row r="12" customFormat="false" ht="15" hidden="false" customHeight="true" outlineLevel="0" collapsed="false">
      <c r="A12" s="2" t="s">
        <v>81</v>
      </c>
      <c r="B12" s="2"/>
      <c r="C12" s="2"/>
    </row>
    <row r="13" customFormat="false" ht="15" hidden="false" customHeight="false" outlineLevel="0" collapsed="false">
      <c r="A13" s="3" t="s">
        <v>82</v>
      </c>
      <c r="B13" s="20" t="n">
        <v>3</v>
      </c>
    </row>
    <row r="14" customFormat="false" ht="15" hidden="false" customHeight="false" outlineLevel="0" collapsed="false">
      <c r="A14" s="3" t="s">
        <v>83</v>
      </c>
      <c r="B14" s="19" t="n">
        <f aca="false">I10*B13</f>
        <v>0.6768</v>
      </c>
      <c r="I14" s="19" t="n">
        <f aca="false">J10*B13</f>
        <v>1.7235</v>
      </c>
    </row>
    <row r="16" customFormat="false" ht="15" hidden="false" customHeight="true" outlineLevel="0" collapsed="false">
      <c r="A16" s="2" t="s">
        <v>84</v>
      </c>
      <c r="B16" s="2"/>
      <c r="C16" s="2"/>
    </row>
    <row r="17" customFormat="false" ht="15" hidden="false" customHeight="false" outlineLevel="0" collapsed="false">
      <c r="A17" s="3" t="s">
        <v>85</v>
      </c>
      <c r="B17" s="20" t="n">
        <v>100</v>
      </c>
      <c r="C17" s="3" t="s">
        <v>86</v>
      </c>
      <c r="D17" s="20" t="n">
        <v>2</v>
      </c>
    </row>
    <row r="18" customFormat="false" ht="15" hidden="false" customHeight="false" outlineLevel="0" collapsed="false">
      <c r="A18" s="3" t="s">
        <v>83</v>
      </c>
      <c r="B18" s="19" t="n">
        <f aca="false">I10*B17*D17</f>
        <v>45.12</v>
      </c>
    </row>
    <row r="19" customFormat="false" ht="23.85" hidden="false" customHeight="false" outlineLevel="0" collapsed="false">
      <c r="A19" s="3" t="s">
        <v>87</v>
      </c>
      <c r="B19" s="21" t="n">
        <f aca="false">B17*99</f>
        <v>9900</v>
      </c>
    </row>
    <row r="20" customFormat="false" ht="15" hidden="false" customHeight="false" outlineLevel="0" collapsed="false">
      <c r="A20" s="3" t="s">
        <v>88</v>
      </c>
      <c r="B20" s="18" t="n">
        <f aca="false">1-B18/B19</f>
        <v>0.995442424242424</v>
      </c>
    </row>
    <row r="21" customFormat="false" ht="23.85" hidden="false" customHeight="false" outlineLevel="0" collapsed="false">
      <c r="A21" s="3" t="s">
        <v>89</v>
      </c>
      <c r="B21" s="18" t="n">
        <f aca="false">1-(B18+2000)/B19</f>
        <v>0.793422222222222</v>
      </c>
    </row>
  </sheetData>
  <mergeCells count="2"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11" min="4" style="0" width="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0" t="s">
        <v>90</v>
      </c>
      <c r="B1" s="10" t="s">
        <v>91</v>
      </c>
      <c r="C1" s="10" t="s">
        <v>92</v>
      </c>
      <c r="D1" s="10" t="s">
        <v>93</v>
      </c>
      <c r="E1" s="10" t="s">
        <v>94</v>
      </c>
      <c r="F1" s="10" t="s">
        <v>95</v>
      </c>
      <c r="G1" s="10" t="s">
        <v>96</v>
      </c>
      <c r="H1" s="10" t="s">
        <v>97</v>
      </c>
      <c r="I1" s="10" t="s">
        <v>98</v>
      </c>
      <c r="J1" s="10" t="s">
        <v>99</v>
      </c>
      <c r="K1" s="10" t="s">
        <v>100</v>
      </c>
      <c r="L1" s="10" t="s">
        <v>101</v>
      </c>
    </row>
    <row r="2" customFormat="false" ht="15" hidden="false" customHeight="false" outlineLevel="0" collapsed="false">
      <c r="A2" s="11" t="n">
        <v>1</v>
      </c>
      <c r="B2" s="11" t="s">
        <v>102</v>
      </c>
      <c r="C2" s="11" t="s">
        <v>103</v>
      </c>
      <c r="D2" s="11"/>
      <c r="E2" s="11"/>
      <c r="F2" s="22" t="s">
        <v>104</v>
      </c>
      <c r="G2" s="11"/>
      <c r="H2" s="11"/>
      <c r="I2" s="11"/>
      <c r="J2" s="11"/>
      <c r="K2" s="11"/>
      <c r="L2" s="11" t="n">
        <f aca="false">COUNTIF(D2:K2,"✓")</f>
        <v>1</v>
      </c>
    </row>
    <row r="3" customFormat="false" ht="15" hidden="false" customHeight="false" outlineLevel="0" collapsed="false">
      <c r="A3" s="11" t="n">
        <v>2</v>
      </c>
      <c r="B3" s="11" t="s">
        <v>105</v>
      </c>
      <c r="C3" s="11" t="s">
        <v>103</v>
      </c>
      <c r="D3" s="11"/>
      <c r="E3" s="11"/>
      <c r="F3" s="22" t="s">
        <v>104</v>
      </c>
      <c r="G3" s="11"/>
      <c r="H3" s="11"/>
      <c r="I3" s="11"/>
      <c r="J3" s="11"/>
      <c r="K3" s="11"/>
      <c r="L3" s="11" t="n">
        <f aca="false">COUNTIF(D3:K3,"✓")</f>
        <v>1</v>
      </c>
    </row>
    <row r="4" customFormat="false" ht="15" hidden="false" customHeight="false" outlineLevel="0" collapsed="false">
      <c r="A4" s="11" t="n">
        <v>3</v>
      </c>
      <c r="B4" s="11" t="s">
        <v>106</v>
      </c>
      <c r="C4" s="11" t="s">
        <v>103</v>
      </c>
      <c r="D4" s="11"/>
      <c r="E4" s="22" t="s">
        <v>104</v>
      </c>
      <c r="F4" s="22" t="s">
        <v>104</v>
      </c>
      <c r="G4" s="11"/>
      <c r="H4" s="11"/>
      <c r="I4" s="11"/>
      <c r="J4" s="11"/>
      <c r="K4" s="11"/>
      <c r="L4" s="11" t="n">
        <f aca="false">COUNTIF(D4:K4,"✓")</f>
        <v>2</v>
      </c>
    </row>
    <row r="5" customFormat="false" ht="15" hidden="false" customHeight="false" outlineLevel="0" collapsed="false">
      <c r="A5" s="11" t="n">
        <v>4</v>
      </c>
      <c r="B5" s="11" t="s">
        <v>107</v>
      </c>
      <c r="C5" s="11" t="s">
        <v>108</v>
      </c>
      <c r="D5" s="22" t="s">
        <v>104</v>
      </c>
      <c r="E5" s="22" t="s">
        <v>104</v>
      </c>
      <c r="F5" s="22" t="s">
        <v>104</v>
      </c>
      <c r="G5" s="11"/>
      <c r="H5" s="11"/>
      <c r="I5" s="11"/>
      <c r="J5" s="11"/>
      <c r="K5" s="11"/>
      <c r="L5" s="11" t="n">
        <f aca="false">COUNTIF(D5:K5,"✓")</f>
        <v>3</v>
      </c>
    </row>
    <row r="6" customFormat="false" ht="15" hidden="false" customHeight="false" outlineLevel="0" collapsed="false">
      <c r="A6" s="11" t="n">
        <v>5</v>
      </c>
      <c r="B6" s="11" t="s">
        <v>109</v>
      </c>
      <c r="C6" s="11" t="s">
        <v>108</v>
      </c>
      <c r="D6" s="11"/>
      <c r="E6" s="22" t="s">
        <v>104</v>
      </c>
      <c r="F6" s="11"/>
      <c r="G6" s="11"/>
      <c r="H6" s="22" t="s">
        <v>104</v>
      </c>
      <c r="I6" s="11"/>
      <c r="J6" s="11"/>
      <c r="K6" s="11"/>
      <c r="L6" s="11" t="n">
        <f aca="false">COUNTIF(D6:K6,"✓")</f>
        <v>2</v>
      </c>
    </row>
    <row r="7" customFormat="false" ht="15" hidden="false" customHeight="false" outlineLevel="0" collapsed="false">
      <c r="A7" s="11" t="n">
        <v>6</v>
      </c>
      <c r="B7" s="11" t="s">
        <v>110</v>
      </c>
      <c r="C7" s="11" t="s">
        <v>108</v>
      </c>
      <c r="D7" s="11"/>
      <c r="E7" s="11"/>
      <c r="F7" s="11"/>
      <c r="G7" s="11"/>
      <c r="H7" s="22" t="s">
        <v>104</v>
      </c>
      <c r="I7" s="11"/>
      <c r="J7" s="11"/>
      <c r="K7" s="11"/>
      <c r="L7" s="11" t="n">
        <f aca="false">COUNTIF(D7:K7,"✓")</f>
        <v>1</v>
      </c>
    </row>
    <row r="8" customFormat="false" ht="15" hidden="false" customHeight="false" outlineLevel="0" collapsed="false">
      <c r="A8" s="11" t="n">
        <v>7</v>
      </c>
      <c r="B8" s="11" t="s">
        <v>111</v>
      </c>
      <c r="C8" s="11" t="s">
        <v>108</v>
      </c>
      <c r="D8" s="11"/>
      <c r="E8" s="11"/>
      <c r="F8" s="11"/>
      <c r="G8" s="22" t="s">
        <v>104</v>
      </c>
      <c r="H8" s="11"/>
      <c r="I8" s="11"/>
      <c r="J8" s="11"/>
      <c r="K8" s="11"/>
      <c r="L8" s="11" t="n">
        <f aca="false">COUNTIF(D8:K8,"✓")</f>
        <v>1</v>
      </c>
    </row>
    <row r="9" customFormat="false" ht="15" hidden="false" customHeight="false" outlineLevel="0" collapsed="false">
      <c r="A9" s="11" t="n">
        <v>8</v>
      </c>
      <c r="B9" s="11" t="s">
        <v>112</v>
      </c>
      <c r="C9" s="11" t="s">
        <v>108</v>
      </c>
      <c r="D9" s="11"/>
      <c r="E9" s="11"/>
      <c r="F9" s="11"/>
      <c r="G9" s="22" t="s">
        <v>104</v>
      </c>
      <c r="H9" s="11"/>
      <c r="I9" s="11"/>
      <c r="J9" s="11"/>
      <c r="K9" s="11"/>
      <c r="L9" s="11" t="n">
        <f aca="false">COUNTIF(D9:K9,"✓")</f>
        <v>1</v>
      </c>
    </row>
    <row r="10" customFormat="false" ht="15" hidden="false" customHeight="false" outlineLevel="0" collapsed="false">
      <c r="A10" s="11" t="n">
        <v>9</v>
      </c>
      <c r="B10" s="11" t="s">
        <v>113</v>
      </c>
      <c r="C10" s="11" t="s">
        <v>114</v>
      </c>
      <c r="D10" s="11"/>
      <c r="E10" s="11"/>
      <c r="F10" s="11"/>
      <c r="G10" s="22" t="s">
        <v>104</v>
      </c>
      <c r="H10" s="11"/>
      <c r="I10" s="11"/>
      <c r="J10" s="11"/>
      <c r="K10" s="11"/>
      <c r="L10" s="11" t="n">
        <f aca="false">COUNTIF(D10:K10,"✓")</f>
        <v>1</v>
      </c>
    </row>
    <row r="11" customFormat="false" ht="15" hidden="false" customHeight="false" outlineLevel="0" collapsed="false">
      <c r="A11" s="11" t="n">
        <v>10</v>
      </c>
      <c r="B11" s="11" t="s">
        <v>115</v>
      </c>
      <c r="C11" s="11" t="s">
        <v>114</v>
      </c>
      <c r="D11" s="11"/>
      <c r="E11" s="11"/>
      <c r="F11" s="11"/>
      <c r="G11" s="11"/>
      <c r="H11" s="22" t="s">
        <v>104</v>
      </c>
      <c r="I11" s="11"/>
      <c r="J11" s="11"/>
      <c r="K11" s="11"/>
      <c r="L11" s="11" t="n">
        <f aca="false">COUNTIF(D11:K11,"✓")</f>
        <v>1</v>
      </c>
    </row>
    <row r="12" customFormat="false" ht="15" hidden="false" customHeight="false" outlineLevel="0" collapsed="false">
      <c r="A12" s="11" t="n">
        <v>11</v>
      </c>
      <c r="B12" s="11" t="s">
        <v>116</v>
      </c>
      <c r="C12" s="11" t="s">
        <v>114</v>
      </c>
      <c r="D12" s="11"/>
      <c r="E12" s="11"/>
      <c r="F12" s="11"/>
      <c r="G12" s="11"/>
      <c r="H12" s="22" t="s">
        <v>104</v>
      </c>
      <c r="I12" s="11"/>
      <c r="J12" s="11"/>
      <c r="K12" s="11"/>
      <c r="L12" s="11" t="n">
        <f aca="false">COUNTIF(D12:K12,"✓")</f>
        <v>1</v>
      </c>
    </row>
    <row r="13" customFormat="false" ht="15" hidden="false" customHeight="false" outlineLevel="0" collapsed="false">
      <c r="A13" s="11" t="n">
        <v>12</v>
      </c>
      <c r="B13" s="11" t="s">
        <v>117</v>
      </c>
      <c r="C13" s="11" t="s">
        <v>114</v>
      </c>
      <c r="D13" s="11"/>
      <c r="E13" s="11"/>
      <c r="F13" s="11"/>
      <c r="G13" s="22" t="s">
        <v>104</v>
      </c>
      <c r="H13" s="11"/>
      <c r="I13" s="11"/>
      <c r="J13" s="11"/>
      <c r="K13" s="11"/>
      <c r="L13" s="11" t="n">
        <f aca="false">COUNTIF(D13:K13,"✓")</f>
        <v>1</v>
      </c>
    </row>
    <row r="14" customFormat="false" ht="15" hidden="false" customHeight="false" outlineLevel="0" collapsed="false">
      <c r="A14" s="11" t="n">
        <v>13</v>
      </c>
      <c r="B14" s="11" t="s">
        <v>118</v>
      </c>
      <c r="C14" s="11" t="s">
        <v>119</v>
      </c>
      <c r="D14" s="22" t="s">
        <v>104</v>
      </c>
      <c r="E14" s="11"/>
      <c r="F14" s="11"/>
      <c r="G14" s="11"/>
      <c r="H14" s="11"/>
      <c r="I14" s="11"/>
      <c r="J14" s="11"/>
      <c r="K14" s="11"/>
      <c r="L14" s="11" t="n">
        <f aca="false">COUNTIF(D14:K14,"✓")</f>
        <v>1</v>
      </c>
    </row>
    <row r="15" customFormat="false" ht="15" hidden="false" customHeight="false" outlineLevel="0" collapsed="false">
      <c r="A15" s="11" t="n">
        <v>14</v>
      </c>
      <c r="B15" s="11" t="s">
        <v>120</v>
      </c>
      <c r="C15" s="11" t="s">
        <v>119</v>
      </c>
      <c r="D15" s="22" t="s">
        <v>104</v>
      </c>
      <c r="E15" s="11"/>
      <c r="F15" s="11"/>
      <c r="G15" s="11"/>
      <c r="H15" s="11"/>
      <c r="I15" s="11"/>
      <c r="J15" s="11"/>
      <c r="K15" s="11"/>
      <c r="L15" s="11" t="n">
        <f aca="false">COUNTIF(D15:K15,"✓")</f>
        <v>1</v>
      </c>
    </row>
    <row r="16" customFormat="false" ht="15" hidden="false" customHeight="false" outlineLevel="0" collapsed="false">
      <c r="A16" s="11" t="n">
        <v>15</v>
      </c>
      <c r="B16" s="11" t="s">
        <v>121</v>
      </c>
      <c r="C16" s="11" t="s">
        <v>119</v>
      </c>
      <c r="D16" s="22" t="s">
        <v>104</v>
      </c>
      <c r="E16" s="11"/>
      <c r="F16" s="11"/>
      <c r="G16" s="11"/>
      <c r="H16" s="11"/>
      <c r="I16" s="11"/>
      <c r="J16" s="11"/>
      <c r="K16" s="11"/>
      <c r="L16" s="11" t="n">
        <f aca="false">COUNTIF(D16:K16,"✓")</f>
        <v>1</v>
      </c>
    </row>
    <row r="17" customFormat="false" ht="15" hidden="false" customHeight="false" outlineLevel="0" collapsed="false">
      <c r="A17" s="11" t="n">
        <v>16</v>
      </c>
      <c r="B17" s="11" t="s">
        <v>122</v>
      </c>
      <c r="C17" s="11" t="s">
        <v>123</v>
      </c>
      <c r="D17" s="11"/>
      <c r="E17" s="22" t="s">
        <v>104</v>
      </c>
      <c r="F17" s="11"/>
      <c r="G17" s="11"/>
      <c r="H17" s="11"/>
      <c r="I17" s="11"/>
      <c r="J17" s="11"/>
      <c r="K17" s="11"/>
      <c r="L17" s="11" t="n">
        <f aca="false">COUNTIF(D17:K17,"✓")</f>
        <v>1</v>
      </c>
    </row>
    <row r="18" customFormat="false" ht="15" hidden="false" customHeight="false" outlineLevel="0" collapsed="false">
      <c r="A18" s="11" t="n">
        <v>17</v>
      </c>
      <c r="B18" s="11" t="s">
        <v>124</v>
      </c>
      <c r="C18" s="11" t="s">
        <v>123</v>
      </c>
      <c r="D18" s="11"/>
      <c r="E18" s="22" t="s">
        <v>104</v>
      </c>
      <c r="F18" s="11"/>
      <c r="G18" s="11"/>
      <c r="H18" s="11"/>
      <c r="I18" s="11"/>
      <c r="J18" s="11"/>
      <c r="K18" s="11"/>
      <c r="L18" s="11" t="n">
        <f aca="false">COUNTIF(D18:K18,"✓")</f>
        <v>1</v>
      </c>
    </row>
    <row r="19" customFormat="false" ht="15" hidden="false" customHeight="false" outlineLevel="0" collapsed="false">
      <c r="A19" s="11" t="n">
        <v>18</v>
      </c>
      <c r="B19" s="11" t="s">
        <v>125</v>
      </c>
      <c r="C19" s="11" t="s">
        <v>126</v>
      </c>
      <c r="D19" s="11"/>
      <c r="E19" s="11"/>
      <c r="F19" s="11"/>
      <c r="G19" s="11"/>
      <c r="H19" s="22" t="s">
        <v>104</v>
      </c>
      <c r="I19" s="11"/>
      <c r="J19" s="11"/>
      <c r="K19" s="11"/>
      <c r="L19" s="11" t="n">
        <f aca="false">COUNTIF(D19:K19,"✓")</f>
        <v>1</v>
      </c>
    </row>
    <row r="20" customFormat="false" ht="15" hidden="false" customHeight="false" outlineLevel="0" collapsed="false">
      <c r="A20" s="11" t="n">
        <v>19</v>
      </c>
      <c r="B20" s="11" t="s">
        <v>127</v>
      </c>
      <c r="C20" s="11" t="s">
        <v>126</v>
      </c>
      <c r="D20" s="11"/>
      <c r="E20" s="11"/>
      <c r="F20" s="11"/>
      <c r="G20" s="11"/>
      <c r="H20" s="22" t="s">
        <v>104</v>
      </c>
      <c r="I20" s="11"/>
      <c r="J20" s="11"/>
      <c r="K20" s="11"/>
      <c r="L20" s="11" t="n">
        <f aca="false">COUNTIF(D20:K20,"✓")</f>
        <v>1</v>
      </c>
    </row>
    <row r="21" customFormat="false" ht="15" hidden="false" customHeight="false" outlineLevel="0" collapsed="false">
      <c r="A21" s="11" t="n">
        <v>20</v>
      </c>
      <c r="B21" s="11" t="s">
        <v>128</v>
      </c>
      <c r="C21" s="11" t="s">
        <v>129</v>
      </c>
      <c r="D21" s="22" t="s">
        <v>104</v>
      </c>
      <c r="E21" s="11"/>
      <c r="F21" s="11"/>
      <c r="G21" s="11"/>
      <c r="H21" s="11"/>
      <c r="I21" s="11"/>
      <c r="J21" s="11"/>
      <c r="K21" s="11"/>
      <c r="L21" s="11" t="n">
        <f aca="false">COUNTIF(D21:K21,"✓")</f>
        <v>1</v>
      </c>
    </row>
    <row r="22" customFormat="false" ht="15" hidden="false" customHeight="false" outlineLevel="0" collapsed="false">
      <c r="A22" s="11" t="n">
        <v>21</v>
      </c>
      <c r="B22" s="11" t="s">
        <v>130</v>
      </c>
      <c r="C22" s="11" t="s">
        <v>129</v>
      </c>
      <c r="D22" s="11"/>
      <c r="E22" s="11"/>
      <c r="F22" s="11"/>
      <c r="G22" s="11"/>
      <c r="H22" s="11"/>
      <c r="I22" s="11"/>
      <c r="J22" s="22" t="s">
        <v>104</v>
      </c>
      <c r="K22" s="11"/>
      <c r="L22" s="11" t="n">
        <f aca="false">COUNTIF(D22:K22,"✓")</f>
        <v>1</v>
      </c>
    </row>
    <row r="23" customFormat="false" ht="15" hidden="false" customHeight="false" outlineLevel="0" collapsed="false">
      <c r="A23" s="11" t="n">
        <v>22</v>
      </c>
      <c r="B23" s="11" t="s">
        <v>131</v>
      </c>
      <c r="C23" s="11" t="s">
        <v>132</v>
      </c>
      <c r="D23" s="11"/>
      <c r="E23" s="11"/>
      <c r="F23" s="11"/>
      <c r="G23" s="11"/>
      <c r="H23" s="22" t="s">
        <v>104</v>
      </c>
      <c r="I23" s="11"/>
      <c r="J23" s="11"/>
      <c r="K23" s="11"/>
      <c r="L23" s="11" t="n">
        <f aca="false">COUNTIF(D23:K23,"✓")</f>
        <v>1</v>
      </c>
    </row>
    <row r="24" customFormat="false" ht="15" hidden="false" customHeight="false" outlineLevel="0" collapsed="false">
      <c r="A24" s="11" t="n">
        <v>23</v>
      </c>
      <c r="B24" s="11" t="s">
        <v>133</v>
      </c>
      <c r="C24" s="11" t="s">
        <v>132</v>
      </c>
      <c r="D24" s="11"/>
      <c r="E24" s="11"/>
      <c r="F24" s="11"/>
      <c r="G24" s="11"/>
      <c r="H24" s="11"/>
      <c r="I24" s="22" t="s">
        <v>104</v>
      </c>
      <c r="J24" s="11"/>
      <c r="K24" s="11"/>
      <c r="L24" s="11" t="n">
        <f aca="false">COUNTIF(D24:K24,"✓")</f>
        <v>1</v>
      </c>
    </row>
    <row r="25" customFormat="false" ht="15" hidden="false" customHeight="false" outlineLevel="0" collapsed="false">
      <c r="A25" s="11" t="n">
        <v>24</v>
      </c>
      <c r="B25" s="11" t="s">
        <v>134</v>
      </c>
      <c r="C25" s="11" t="s">
        <v>70</v>
      </c>
      <c r="D25" s="11"/>
      <c r="E25" s="11"/>
      <c r="F25" s="11"/>
      <c r="G25" s="11"/>
      <c r="H25" s="11"/>
      <c r="I25" s="22" t="s">
        <v>104</v>
      </c>
      <c r="J25" s="11"/>
      <c r="K25" s="11"/>
      <c r="L25" s="11" t="n">
        <f aca="false">COUNTIF(D25:K25,"✓")</f>
        <v>1</v>
      </c>
    </row>
    <row r="26" customFormat="false" ht="15" hidden="false" customHeight="false" outlineLevel="0" collapsed="false">
      <c r="A26" s="11" t="n">
        <v>25</v>
      </c>
      <c r="B26" s="11" t="s">
        <v>135</v>
      </c>
      <c r="C26" s="11" t="s">
        <v>70</v>
      </c>
      <c r="D26" s="11"/>
      <c r="E26" s="11"/>
      <c r="F26" s="11"/>
      <c r="G26" s="11"/>
      <c r="H26" s="11"/>
      <c r="I26" s="11"/>
      <c r="J26" s="11"/>
      <c r="K26" s="22" t="s">
        <v>104</v>
      </c>
      <c r="L26" s="11" t="n">
        <f aca="false">COUNTIF(D26:K26,"✓")</f>
        <v>1</v>
      </c>
    </row>
    <row r="27" customFormat="false" ht="15" hidden="false" customHeight="false" outlineLevel="0" collapsed="false">
      <c r="A27" s="11" t="n">
        <v>26</v>
      </c>
      <c r="B27" s="11" t="s">
        <v>136</v>
      </c>
      <c r="C27" s="11" t="s">
        <v>137</v>
      </c>
      <c r="D27" s="11"/>
      <c r="E27" s="11"/>
      <c r="F27" s="11"/>
      <c r="G27" s="11"/>
      <c r="H27" s="11"/>
      <c r="I27" s="11"/>
      <c r="J27" s="22" t="s">
        <v>104</v>
      </c>
      <c r="K27" s="11"/>
      <c r="L27" s="11" t="n">
        <f aca="false">COUNTIF(D27:K27,"✓")</f>
        <v>1</v>
      </c>
    </row>
    <row r="28" customFormat="false" ht="15" hidden="false" customHeight="false" outlineLevel="0" collapsed="false">
      <c r="A28" s="11" t="n">
        <v>27</v>
      </c>
      <c r="B28" s="11" t="s">
        <v>138</v>
      </c>
      <c r="C28" s="11" t="s">
        <v>137</v>
      </c>
      <c r="D28" s="11"/>
      <c r="E28" s="11"/>
      <c r="F28" s="11"/>
      <c r="G28" s="11"/>
      <c r="H28" s="11"/>
      <c r="I28" s="11"/>
      <c r="J28" s="22" t="s">
        <v>104</v>
      </c>
      <c r="K28" s="11"/>
      <c r="L28" s="11" t="n">
        <f aca="false">COUNTIF(D28:K28,"✓")</f>
        <v>1</v>
      </c>
    </row>
    <row r="29" customFormat="false" ht="15" hidden="false" customHeight="false" outlineLevel="0" collapsed="false">
      <c r="A29" s="11" t="n">
        <v>28</v>
      </c>
      <c r="B29" s="11" t="s">
        <v>139</v>
      </c>
      <c r="C29" s="11" t="s">
        <v>140</v>
      </c>
      <c r="D29" s="11"/>
      <c r="E29" s="22" t="s">
        <v>104</v>
      </c>
      <c r="F29" s="11"/>
      <c r="G29" s="11"/>
      <c r="H29" s="11"/>
      <c r="I29" s="11"/>
      <c r="J29" s="11"/>
      <c r="K29" s="11"/>
      <c r="L29" s="11" t="n">
        <f aca="false">COUNTIF(D29:K29,"✓")</f>
        <v>1</v>
      </c>
    </row>
    <row r="30" customFormat="false" ht="15" hidden="false" customHeight="false" outlineLevel="0" collapsed="false">
      <c r="A30" s="11" t="n">
        <v>29</v>
      </c>
      <c r="B30" s="11" t="s">
        <v>141</v>
      </c>
      <c r="C30" s="11" t="s">
        <v>140</v>
      </c>
      <c r="D30" s="11"/>
      <c r="E30" s="11"/>
      <c r="F30" s="11"/>
      <c r="G30" s="11"/>
      <c r="H30" s="22" t="s">
        <v>104</v>
      </c>
      <c r="I30" s="11"/>
      <c r="J30" s="11"/>
      <c r="K30" s="11"/>
      <c r="L30" s="11" t="n">
        <f aca="false">COUNTIF(D30:K30,"✓")</f>
        <v>1</v>
      </c>
    </row>
    <row r="31" customFormat="false" ht="15" hidden="false" customHeight="false" outlineLevel="0" collapsed="false">
      <c r="A31" s="11" t="n">
        <v>30</v>
      </c>
      <c r="B31" s="11" t="s">
        <v>142</v>
      </c>
      <c r="C31" s="11" t="s">
        <v>129</v>
      </c>
      <c r="D31" s="11"/>
      <c r="E31" s="11"/>
      <c r="F31" s="11"/>
      <c r="G31" s="11"/>
      <c r="H31" s="22" t="s">
        <v>104</v>
      </c>
      <c r="I31" s="11"/>
      <c r="J31" s="11"/>
      <c r="K31" s="11"/>
      <c r="L31" s="11" t="n">
        <f aca="false">COUNTIF(D31:K31,"✓")</f>
        <v>1</v>
      </c>
    </row>
    <row r="33" customFormat="false" ht="15" hidden="false" customHeight="true" outlineLevel="0" collapsed="false">
      <c r="A33" s="2" t="s">
        <v>143</v>
      </c>
      <c r="B33" s="2"/>
      <c r="C33" s="2"/>
    </row>
    <row r="34" customFormat="false" ht="15" hidden="false" customHeight="false" outlineLevel="0" collapsed="false">
      <c r="B34" s="3" t="s">
        <v>103</v>
      </c>
      <c r="C34" s="11" t="n">
        <f aca="false">COUNTIF(C2:C31,B34)</f>
        <v>3</v>
      </c>
    </row>
    <row r="35" customFormat="false" ht="15" hidden="false" customHeight="false" outlineLevel="0" collapsed="false">
      <c r="B35" s="3" t="s">
        <v>108</v>
      </c>
      <c r="C35" s="11" t="n">
        <f aca="false">COUNTIF(C2:C31,B35)</f>
        <v>5</v>
      </c>
    </row>
    <row r="36" customFormat="false" ht="15" hidden="false" customHeight="false" outlineLevel="0" collapsed="false">
      <c r="B36" s="3" t="s">
        <v>114</v>
      </c>
      <c r="C36" s="11" t="n">
        <f aca="false">COUNTIF(C2:C31,B36)</f>
        <v>4</v>
      </c>
    </row>
    <row r="37" customFormat="false" ht="15" hidden="false" customHeight="false" outlineLevel="0" collapsed="false">
      <c r="B37" s="3" t="s">
        <v>119</v>
      </c>
      <c r="C37" s="11" t="n">
        <f aca="false">COUNTIF(C2:C31,B37)</f>
        <v>3</v>
      </c>
    </row>
    <row r="38" customFormat="false" ht="15" hidden="false" customHeight="false" outlineLevel="0" collapsed="false">
      <c r="B38" s="3" t="s">
        <v>123</v>
      </c>
      <c r="C38" s="11" t="n">
        <f aca="false">COUNTIF(C2:C31,B38)</f>
        <v>2</v>
      </c>
    </row>
    <row r="39" customFormat="false" ht="15" hidden="false" customHeight="false" outlineLevel="0" collapsed="false">
      <c r="B39" s="3" t="s">
        <v>126</v>
      </c>
      <c r="C39" s="11" t="n">
        <f aca="false">COUNTIF(C2:C31,B39)</f>
        <v>2</v>
      </c>
    </row>
    <row r="40" customFormat="false" ht="15" hidden="false" customHeight="false" outlineLevel="0" collapsed="false">
      <c r="B40" s="3" t="s">
        <v>129</v>
      </c>
      <c r="C40" s="11" t="n">
        <f aca="false">COUNTIF(C2:C31,B40)</f>
        <v>3</v>
      </c>
    </row>
    <row r="41" customFormat="false" ht="15" hidden="false" customHeight="false" outlineLevel="0" collapsed="false">
      <c r="B41" s="3" t="s">
        <v>132</v>
      </c>
      <c r="C41" s="11" t="n">
        <f aca="false">COUNTIF(C2:C31,B41)</f>
        <v>2</v>
      </c>
    </row>
    <row r="42" customFormat="false" ht="15" hidden="false" customHeight="false" outlineLevel="0" collapsed="false">
      <c r="B42" s="3" t="s">
        <v>70</v>
      </c>
      <c r="C42" s="11" t="n">
        <f aca="false">COUNTIF(C2:C31,B42)</f>
        <v>2</v>
      </c>
    </row>
    <row r="43" customFormat="false" ht="15" hidden="false" customHeight="false" outlineLevel="0" collapsed="false">
      <c r="B43" s="3" t="s">
        <v>137</v>
      </c>
      <c r="C43" s="11" t="n">
        <f aca="false">COUNTIF(C2:C31,B43)</f>
        <v>2</v>
      </c>
    </row>
    <row r="44" customFormat="false" ht="15" hidden="false" customHeight="false" outlineLevel="0" collapsed="false">
      <c r="B44" s="3" t="s">
        <v>140</v>
      </c>
      <c r="C44" s="11" t="n">
        <f aca="false">COUNTIF(C2:C31,B44)</f>
        <v>2</v>
      </c>
    </row>
  </sheetData>
  <mergeCells count="1"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0" t="s">
        <v>144</v>
      </c>
      <c r="B1" s="10" t="s">
        <v>37</v>
      </c>
      <c r="C1" s="10" t="s">
        <v>145</v>
      </c>
      <c r="D1" s="10" t="s">
        <v>146</v>
      </c>
      <c r="E1" s="10" t="s">
        <v>147</v>
      </c>
      <c r="F1" s="10" t="s">
        <v>148</v>
      </c>
      <c r="G1" s="10" t="s">
        <v>149</v>
      </c>
      <c r="H1" s="10" t="s">
        <v>150</v>
      </c>
    </row>
    <row r="2" customFormat="false" ht="15" hidden="false" customHeight="false" outlineLevel="0" collapsed="false">
      <c r="A2" s="11" t="s">
        <v>151</v>
      </c>
      <c r="B2" s="11" t="s">
        <v>5</v>
      </c>
      <c r="C2" s="18" t="n">
        <v>0.7</v>
      </c>
      <c r="D2" s="11" t="n">
        <v>10</v>
      </c>
      <c r="E2" s="3" t="n">
        <v>60</v>
      </c>
      <c r="F2" s="3" t="s">
        <v>152</v>
      </c>
      <c r="G2" s="3" t="n">
        <v>2</v>
      </c>
      <c r="H2" s="3" t="s">
        <v>153</v>
      </c>
    </row>
    <row r="3" customFormat="false" ht="15" hidden="false" customHeight="false" outlineLevel="0" collapsed="false">
      <c r="A3" s="11" t="s">
        <v>154</v>
      </c>
      <c r="B3" s="11" t="s">
        <v>8</v>
      </c>
      <c r="C3" s="18" t="n">
        <v>0.7</v>
      </c>
      <c r="D3" s="11" t="s">
        <v>155</v>
      </c>
      <c r="E3" s="3" t="n">
        <v>60</v>
      </c>
      <c r="F3" s="3" t="s">
        <v>156</v>
      </c>
      <c r="G3" s="3" t="n">
        <v>2</v>
      </c>
      <c r="H3" s="3" t="s">
        <v>157</v>
      </c>
    </row>
    <row r="4" customFormat="false" ht="15" hidden="false" customHeight="false" outlineLevel="0" collapsed="false">
      <c r="A4" s="11" t="s">
        <v>158</v>
      </c>
      <c r="B4" s="11" t="s">
        <v>14</v>
      </c>
      <c r="C4" s="18" t="n">
        <v>0.65</v>
      </c>
      <c r="D4" s="11" t="s">
        <v>155</v>
      </c>
      <c r="E4" s="3" t="s">
        <v>155</v>
      </c>
      <c r="F4" s="3" t="s">
        <v>159</v>
      </c>
      <c r="G4" s="3" t="n">
        <v>2</v>
      </c>
      <c r="H4" s="3" t="s">
        <v>160</v>
      </c>
    </row>
    <row r="5" customFormat="false" ht="15" hidden="false" customHeight="false" outlineLevel="0" collapsed="false">
      <c r="A5" s="11" t="s">
        <v>161</v>
      </c>
      <c r="B5" s="11" t="s">
        <v>17</v>
      </c>
      <c r="C5" s="18" t="n">
        <v>0.6</v>
      </c>
      <c r="D5" s="11" t="s">
        <v>155</v>
      </c>
      <c r="E5" s="3" t="s">
        <v>155</v>
      </c>
      <c r="F5" s="3" t="s">
        <v>162</v>
      </c>
      <c r="G5" s="3" t="n">
        <v>2</v>
      </c>
      <c r="H5" s="3" t="s">
        <v>163</v>
      </c>
    </row>
    <row r="6" customFormat="false" ht="15" hidden="false" customHeight="false" outlineLevel="0" collapsed="false">
      <c r="A6" s="11" t="s">
        <v>164</v>
      </c>
      <c r="B6" s="11" t="s">
        <v>21</v>
      </c>
      <c r="C6" s="18" t="n">
        <v>0.6</v>
      </c>
      <c r="D6" s="11" t="s">
        <v>155</v>
      </c>
      <c r="E6" s="3" t="s">
        <v>155</v>
      </c>
      <c r="F6" s="3" t="s">
        <v>165</v>
      </c>
      <c r="G6" s="3" t="n">
        <v>2</v>
      </c>
      <c r="H6" s="3" t="s">
        <v>166</v>
      </c>
    </row>
    <row r="7" customFormat="false" ht="15" hidden="false" customHeight="false" outlineLevel="0" collapsed="false">
      <c r="A7" s="11" t="s">
        <v>167</v>
      </c>
      <c r="B7" s="11" t="s">
        <v>22</v>
      </c>
      <c r="C7" s="18" t="n">
        <v>0.6</v>
      </c>
      <c r="D7" s="11" t="s">
        <v>155</v>
      </c>
      <c r="E7" s="3" t="s">
        <v>155</v>
      </c>
      <c r="F7" s="3" t="s">
        <v>168</v>
      </c>
      <c r="G7" s="3" t="n">
        <v>1</v>
      </c>
      <c r="H7" s="3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0" t="s">
        <v>170</v>
      </c>
      <c r="B1" s="10" t="s">
        <v>171</v>
      </c>
      <c r="C1" s="10" t="s">
        <v>172</v>
      </c>
      <c r="D1" s="10" t="s">
        <v>173</v>
      </c>
      <c r="E1" s="10" t="s">
        <v>174</v>
      </c>
      <c r="F1" s="10" t="s">
        <v>175</v>
      </c>
      <c r="G1" s="10" t="s">
        <v>176</v>
      </c>
    </row>
    <row r="2" customFormat="false" ht="15" hidden="false" customHeight="false" outlineLevel="0" collapsed="false">
      <c r="A2" s="3" t="s">
        <v>177</v>
      </c>
      <c r="B2" s="3" t="s">
        <v>178</v>
      </c>
      <c r="C2" s="3" t="s">
        <v>8</v>
      </c>
      <c r="D2" s="3" t="s">
        <v>179</v>
      </c>
      <c r="E2" s="3" t="s">
        <v>180</v>
      </c>
      <c r="F2" s="3" t="s">
        <v>181</v>
      </c>
      <c r="G2" s="23" t="s">
        <v>182</v>
      </c>
    </row>
    <row r="3" customFormat="false" ht="15" hidden="false" customHeight="false" outlineLevel="0" collapsed="false">
      <c r="A3" s="3" t="s">
        <v>183</v>
      </c>
      <c r="B3" s="3" t="s">
        <v>184</v>
      </c>
      <c r="C3" s="3" t="s">
        <v>5</v>
      </c>
      <c r="D3" s="3" t="s">
        <v>185</v>
      </c>
      <c r="E3" s="3" t="s">
        <v>180</v>
      </c>
      <c r="F3" s="3" t="s">
        <v>186</v>
      </c>
      <c r="G3" s="24" t="s">
        <v>187</v>
      </c>
    </row>
    <row r="4" customFormat="false" ht="15" hidden="false" customHeight="false" outlineLevel="0" collapsed="false">
      <c r="A4" s="3" t="s">
        <v>188</v>
      </c>
      <c r="B4" s="3" t="s">
        <v>189</v>
      </c>
      <c r="C4" s="3" t="s">
        <v>5</v>
      </c>
      <c r="D4" s="3" t="s">
        <v>190</v>
      </c>
      <c r="E4" s="3" t="s">
        <v>191</v>
      </c>
      <c r="F4" s="3" t="s">
        <v>186</v>
      </c>
      <c r="G4" s="24" t="s">
        <v>187</v>
      </c>
    </row>
    <row r="5" customFormat="false" ht="15" hidden="false" customHeight="false" outlineLevel="0" collapsed="false">
      <c r="A5" s="3" t="s">
        <v>192</v>
      </c>
      <c r="B5" s="3" t="s">
        <v>193</v>
      </c>
      <c r="C5" s="3" t="s">
        <v>8</v>
      </c>
      <c r="D5" s="3" t="s">
        <v>194</v>
      </c>
      <c r="E5" s="3" t="s">
        <v>180</v>
      </c>
      <c r="F5" s="3" t="s">
        <v>181</v>
      </c>
      <c r="G5" s="23" t="s">
        <v>182</v>
      </c>
    </row>
    <row r="6" customFormat="false" ht="15" hidden="false" customHeight="false" outlineLevel="0" collapsed="false">
      <c r="A6" s="3" t="s">
        <v>195</v>
      </c>
      <c r="B6" s="3" t="s">
        <v>196</v>
      </c>
      <c r="C6" s="3" t="s">
        <v>17</v>
      </c>
      <c r="D6" s="3" t="s">
        <v>197</v>
      </c>
      <c r="E6" s="3" t="s">
        <v>180</v>
      </c>
      <c r="F6" s="3" t="s">
        <v>198</v>
      </c>
      <c r="G6" s="23" t="s">
        <v>182</v>
      </c>
    </row>
    <row r="7" customFormat="false" ht="15" hidden="false" customHeight="false" outlineLevel="0" collapsed="false">
      <c r="A7" s="3" t="s">
        <v>199</v>
      </c>
      <c r="B7" s="3" t="s">
        <v>200</v>
      </c>
      <c r="C7" s="3" t="s">
        <v>14</v>
      </c>
      <c r="D7" s="3" t="s">
        <v>201</v>
      </c>
      <c r="E7" s="3" t="s">
        <v>191</v>
      </c>
      <c r="F7" s="3" t="s">
        <v>202</v>
      </c>
      <c r="G7" s="3" t="s">
        <v>203</v>
      </c>
    </row>
    <row r="8" customFormat="false" ht="15" hidden="false" customHeight="false" outlineLevel="0" collapsed="false">
      <c r="A8" s="3" t="s">
        <v>204</v>
      </c>
      <c r="B8" s="3" t="s">
        <v>205</v>
      </c>
      <c r="C8" s="3" t="s">
        <v>8</v>
      </c>
      <c r="D8" s="3" t="s">
        <v>206</v>
      </c>
      <c r="E8" s="3" t="s">
        <v>191</v>
      </c>
      <c r="F8" s="3" t="s">
        <v>181</v>
      </c>
      <c r="G8" s="3" t="s">
        <v>203</v>
      </c>
    </row>
    <row r="9" customFormat="false" ht="15" hidden="false" customHeight="false" outlineLevel="0" collapsed="false">
      <c r="A9" s="3" t="s">
        <v>207</v>
      </c>
      <c r="B9" s="3" t="s">
        <v>208</v>
      </c>
      <c r="C9" s="3" t="s">
        <v>21</v>
      </c>
      <c r="D9" s="3" t="s">
        <v>209</v>
      </c>
      <c r="E9" s="3" t="s">
        <v>180</v>
      </c>
      <c r="F9" s="3" t="s">
        <v>210</v>
      </c>
      <c r="G9" s="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5A3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</row>
    <row r="2" customFormat="false" ht="23.85" hidden="false" customHeight="false" outlineLevel="0" collapsed="false">
      <c r="A2" s="3" t="s">
        <v>215</v>
      </c>
      <c r="B2" s="3" t="s">
        <v>216</v>
      </c>
      <c r="C2" s="11" t="n">
        <f aca="false">IF(B2="(none)",0,LEN(B2)-LEN(SUBSTITUTE(B2,",",""))+1)</f>
        <v>8</v>
      </c>
    </row>
    <row r="3" customFormat="false" ht="15" hidden="false" customHeight="false" outlineLevel="0" collapsed="false">
      <c r="A3" s="3" t="s">
        <v>217</v>
      </c>
      <c r="B3" s="3" t="s">
        <v>218</v>
      </c>
      <c r="C3" s="11" t="n">
        <f aca="false">IF(B3="(none)",0,LEN(B3)-LEN(SUBSTITUTE(B3,",",""))+1)</f>
        <v>3</v>
      </c>
    </row>
    <row r="4" customFormat="false" ht="15" hidden="false" customHeight="false" outlineLevel="0" collapsed="false">
      <c r="A4" s="3" t="s">
        <v>5</v>
      </c>
      <c r="B4" s="3" t="s">
        <v>219</v>
      </c>
      <c r="C4" s="11" t="n">
        <f aca="false">IF(B4="(none)",0,LEN(B4)-LEN(SUBSTITUTE(B4,",",""))+1)</f>
        <v>7</v>
      </c>
    </row>
    <row r="5" customFormat="false" ht="15" hidden="false" customHeight="false" outlineLevel="0" collapsed="false">
      <c r="A5" s="3" t="s">
        <v>8</v>
      </c>
      <c r="B5" s="3" t="s">
        <v>220</v>
      </c>
      <c r="C5" s="11" t="n">
        <f aca="false">IF(B5="(none)",0,LEN(B5)-LEN(SUBSTITUTE(B5,",",""))+1)</f>
        <v>6</v>
      </c>
    </row>
    <row r="6" customFormat="false" ht="15" hidden="false" customHeight="false" outlineLevel="0" collapsed="false">
      <c r="A6" s="3" t="s">
        <v>14</v>
      </c>
      <c r="B6" s="3" t="s">
        <v>221</v>
      </c>
      <c r="C6" s="11" t="n">
        <f aca="false">IF(B6="(none)",0,LEN(B6)-LEN(SUBSTITUTE(B6,",",""))+1)</f>
        <v>4</v>
      </c>
    </row>
    <row r="7" customFormat="false" ht="15" hidden="false" customHeight="false" outlineLevel="0" collapsed="false">
      <c r="A7" s="3" t="s">
        <v>17</v>
      </c>
      <c r="B7" s="3" t="s">
        <v>222</v>
      </c>
      <c r="C7" s="11" t="n">
        <f aca="false">IF(B7="(none)",0,LEN(B7)-LEN(SUBSTITUTE(B7,",",""))+1)</f>
        <v>3</v>
      </c>
    </row>
    <row r="8" customFormat="false" ht="15" hidden="false" customHeight="false" outlineLevel="0" collapsed="false">
      <c r="A8" s="3" t="s">
        <v>21</v>
      </c>
      <c r="B8" s="3" t="s">
        <v>223</v>
      </c>
      <c r="C8" s="11" t="n">
        <f aca="false">IF(B8="(none)",0,LEN(B8)-LEN(SUBSTITUTE(B8,",",""))+1)</f>
        <v>1</v>
      </c>
    </row>
    <row r="9" customFormat="false" ht="15" hidden="false" customHeight="false" outlineLevel="0" collapsed="false">
      <c r="A9" s="3" t="s">
        <v>22</v>
      </c>
      <c r="B9" s="3" t="s">
        <v>224</v>
      </c>
      <c r="C9" s="11" t="n">
        <f aca="false">IF(B9="(none)",0,LEN(B9)-LEN(SUBSTITUTE(B9,",",""))+1)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7.35" hidden="false" customHeight="true" outlineLevel="0" collapsed="false">
      <c r="A1" s="1" t="s">
        <v>225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226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0" t="s">
        <v>227</v>
      </c>
      <c r="B4" s="10" t="s">
        <v>228</v>
      </c>
      <c r="C4" s="10" t="s">
        <v>37</v>
      </c>
      <c r="D4" s="10" t="s">
        <v>229</v>
      </c>
      <c r="E4" s="10" t="s">
        <v>230</v>
      </c>
      <c r="F4" s="10" t="s">
        <v>231</v>
      </c>
      <c r="G4" s="10" t="s">
        <v>91</v>
      </c>
      <c r="H4" s="10" t="s">
        <v>232</v>
      </c>
    </row>
    <row r="5" customFormat="false" ht="15" hidden="false" customHeight="false" outlineLevel="0" collapsed="false">
      <c r="A5" s="12"/>
      <c r="B5" s="12"/>
      <c r="C5" s="12"/>
      <c r="D5" s="16"/>
      <c r="E5" s="20"/>
      <c r="F5" s="25" t="str">
        <f aca="false">IF(AND(D5&lt;&gt;"",E5&lt;&gt;""),(D5-E5)^2,"")</f>
        <v/>
      </c>
      <c r="G5" s="12"/>
      <c r="H5" s="18" t="str">
        <f aca="false">IF(D5="","",FLOOR(D5,0.1))</f>
        <v/>
      </c>
    </row>
    <row r="6" customFormat="false" ht="15" hidden="false" customHeight="false" outlineLevel="0" collapsed="false">
      <c r="A6" s="12"/>
      <c r="B6" s="12"/>
      <c r="C6" s="12"/>
      <c r="D6" s="16"/>
      <c r="E6" s="20"/>
      <c r="F6" s="25" t="str">
        <f aca="false">IF(AND(D6&lt;&gt;"",E6&lt;&gt;""),(D6-E6)^2,"")</f>
        <v/>
      </c>
      <c r="G6" s="12"/>
      <c r="H6" s="18" t="str">
        <f aca="false">IF(D6="","",FLOOR(D6,0.1))</f>
        <v/>
      </c>
    </row>
    <row r="7" customFormat="false" ht="15" hidden="false" customHeight="false" outlineLevel="0" collapsed="false">
      <c r="A7" s="12"/>
      <c r="B7" s="12"/>
      <c r="C7" s="12"/>
      <c r="D7" s="16"/>
      <c r="E7" s="20"/>
      <c r="F7" s="25" t="str">
        <f aca="false">IF(AND(D7&lt;&gt;"",E7&lt;&gt;""),(D7-E7)^2,"")</f>
        <v/>
      </c>
      <c r="G7" s="12"/>
      <c r="H7" s="18" t="str">
        <f aca="false">IF(D7="","",FLOOR(D7,0.1))</f>
        <v/>
      </c>
    </row>
    <row r="8" customFormat="false" ht="15" hidden="false" customHeight="false" outlineLevel="0" collapsed="false">
      <c r="A8" s="12"/>
      <c r="B8" s="12"/>
      <c r="C8" s="12"/>
      <c r="D8" s="16"/>
      <c r="E8" s="20"/>
      <c r="F8" s="25" t="str">
        <f aca="false">IF(AND(D8&lt;&gt;"",E8&lt;&gt;""),(D8-E8)^2,"")</f>
        <v/>
      </c>
      <c r="G8" s="12"/>
      <c r="H8" s="18" t="str">
        <f aca="false">IF(D8="","",FLOOR(D8,0.1))</f>
        <v/>
      </c>
    </row>
    <row r="9" customFormat="false" ht="15" hidden="false" customHeight="false" outlineLevel="0" collapsed="false">
      <c r="A9" s="12"/>
      <c r="B9" s="12"/>
      <c r="C9" s="12"/>
      <c r="D9" s="16"/>
      <c r="E9" s="20"/>
      <c r="F9" s="25" t="str">
        <f aca="false">IF(AND(D9&lt;&gt;"",E9&lt;&gt;""),(D9-E9)^2,"")</f>
        <v/>
      </c>
      <c r="G9" s="12"/>
      <c r="H9" s="18" t="str">
        <f aca="false">IF(D9="","",FLOOR(D9,0.1))</f>
        <v/>
      </c>
    </row>
    <row r="10" customFormat="false" ht="15" hidden="false" customHeight="false" outlineLevel="0" collapsed="false">
      <c r="A10" s="12"/>
      <c r="B10" s="12"/>
      <c r="C10" s="12"/>
      <c r="D10" s="16"/>
      <c r="E10" s="20"/>
      <c r="F10" s="25" t="str">
        <f aca="false">IF(AND(D10&lt;&gt;"",E10&lt;&gt;""),(D10-E10)^2,"")</f>
        <v/>
      </c>
      <c r="G10" s="12"/>
      <c r="H10" s="18" t="str">
        <f aca="false">IF(D10="","",FLOOR(D10,0.1))</f>
        <v/>
      </c>
    </row>
    <row r="11" customFormat="false" ht="15" hidden="false" customHeight="false" outlineLevel="0" collapsed="false">
      <c r="A11" s="12"/>
      <c r="B11" s="12"/>
      <c r="C11" s="12"/>
      <c r="D11" s="16"/>
      <c r="E11" s="20"/>
      <c r="F11" s="25" t="str">
        <f aca="false">IF(AND(D11&lt;&gt;"",E11&lt;&gt;""),(D11-E11)^2,"")</f>
        <v/>
      </c>
      <c r="G11" s="12"/>
      <c r="H11" s="18" t="str">
        <f aca="false">IF(D11="","",FLOOR(D11,0.1))</f>
        <v/>
      </c>
    </row>
    <row r="12" customFormat="false" ht="15" hidden="false" customHeight="false" outlineLevel="0" collapsed="false">
      <c r="A12" s="12"/>
      <c r="B12" s="12"/>
      <c r="C12" s="12"/>
      <c r="D12" s="16"/>
      <c r="E12" s="20"/>
      <c r="F12" s="25" t="str">
        <f aca="false">IF(AND(D12&lt;&gt;"",E12&lt;&gt;""),(D12-E12)^2,"")</f>
        <v/>
      </c>
      <c r="G12" s="12"/>
      <c r="H12" s="18" t="str">
        <f aca="false">IF(D12="","",FLOOR(D12,0.1))</f>
        <v/>
      </c>
    </row>
    <row r="13" customFormat="false" ht="15" hidden="false" customHeight="false" outlineLevel="0" collapsed="false">
      <c r="A13" s="12"/>
      <c r="B13" s="12"/>
      <c r="C13" s="12"/>
      <c r="D13" s="16"/>
      <c r="E13" s="20"/>
      <c r="F13" s="25" t="str">
        <f aca="false">IF(AND(D13&lt;&gt;"",E13&lt;&gt;""),(D13-E13)^2,"")</f>
        <v/>
      </c>
      <c r="G13" s="12"/>
      <c r="H13" s="18" t="str">
        <f aca="false">IF(D13="","",FLOOR(D13,0.1))</f>
        <v/>
      </c>
    </row>
    <row r="14" customFormat="false" ht="15" hidden="false" customHeight="false" outlineLevel="0" collapsed="false">
      <c r="A14" s="12"/>
      <c r="B14" s="12"/>
      <c r="C14" s="12"/>
      <c r="D14" s="16"/>
      <c r="E14" s="20"/>
      <c r="F14" s="25" t="str">
        <f aca="false">IF(AND(D14&lt;&gt;"",E14&lt;&gt;""),(D14-E14)^2,"")</f>
        <v/>
      </c>
      <c r="G14" s="12"/>
      <c r="H14" s="18" t="str">
        <f aca="false">IF(D14="","",FLOOR(D14,0.1))</f>
        <v/>
      </c>
    </row>
    <row r="15" customFormat="false" ht="15" hidden="false" customHeight="false" outlineLevel="0" collapsed="false">
      <c r="A15" s="12"/>
      <c r="B15" s="12"/>
      <c r="C15" s="12"/>
      <c r="D15" s="16"/>
      <c r="E15" s="20"/>
      <c r="F15" s="25" t="str">
        <f aca="false">IF(AND(D15&lt;&gt;"",E15&lt;&gt;""),(D15-E15)^2,"")</f>
        <v/>
      </c>
      <c r="G15" s="12"/>
      <c r="H15" s="18" t="str">
        <f aca="false">IF(D15="","",FLOOR(D15,0.1))</f>
        <v/>
      </c>
    </row>
    <row r="16" customFormat="false" ht="15" hidden="false" customHeight="false" outlineLevel="0" collapsed="false">
      <c r="A16" s="12"/>
      <c r="B16" s="12"/>
      <c r="C16" s="12"/>
      <c r="D16" s="16"/>
      <c r="E16" s="20"/>
      <c r="F16" s="25" t="str">
        <f aca="false">IF(AND(D16&lt;&gt;"",E16&lt;&gt;""),(D16-E16)^2,"")</f>
        <v/>
      </c>
      <c r="G16" s="12"/>
      <c r="H16" s="18" t="str">
        <f aca="false">IF(D16="","",FLOOR(D16,0.1))</f>
        <v/>
      </c>
    </row>
    <row r="17" customFormat="false" ht="15" hidden="false" customHeight="false" outlineLevel="0" collapsed="false">
      <c r="A17" s="12"/>
      <c r="B17" s="12"/>
      <c r="C17" s="12"/>
      <c r="D17" s="16"/>
      <c r="E17" s="20"/>
      <c r="F17" s="25" t="str">
        <f aca="false">IF(AND(D17&lt;&gt;"",E17&lt;&gt;""),(D17-E17)^2,"")</f>
        <v/>
      </c>
      <c r="G17" s="12"/>
      <c r="H17" s="18" t="str">
        <f aca="false">IF(D17="","",FLOOR(D17,0.1))</f>
        <v/>
      </c>
    </row>
    <row r="18" customFormat="false" ht="15" hidden="false" customHeight="false" outlineLevel="0" collapsed="false">
      <c r="A18" s="12"/>
      <c r="B18" s="12"/>
      <c r="C18" s="12"/>
      <c r="D18" s="16"/>
      <c r="E18" s="20"/>
      <c r="F18" s="25" t="str">
        <f aca="false">IF(AND(D18&lt;&gt;"",E18&lt;&gt;""),(D18-E18)^2,"")</f>
        <v/>
      </c>
      <c r="G18" s="12"/>
      <c r="H18" s="18" t="str">
        <f aca="false">IF(D18="","",FLOOR(D18,0.1))</f>
        <v/>
      </c>
    </row>
    <row r="19" customFormat="false" ht="15" hidden="false" customHeight="false" outlineLevel="0" collapsed="false">
      <c r="A19" s="12"/>
      <c r="B19" s="12"/>
      <c r="C19" s="12"/>
      <c r="D19" s="16"/>
      <c r="E19" s="20"/>
      <c r="F19" s="25" t="str">
        <f aca="false">IF(AND(D19&lt;&gt;"",E19&lt;&gt;""),(D19-E19)^2,"")</f>
        <v/>
      </c>
      <c r="G19" s="12"/>
      <c r="H19" s="18" t="str">
        <f aca="false">IF(D19="","",FLOOR(D19,0.1))</f>
        <v/>
      </c>
    </row>
    <row r="20" customFormat="false" ht="15" hidden="false" customHeight="false" outlineLevel="0" collapsed="false">
      <c r="A20" s="12"/>
      <c r="B20" s="12"/>
      <c r="C20" s="12"/>
      <c r="D20" s="16"/>
      <c r="E20" s="20"/>
      <c r="F20" s="25" t="str">
        <f aca="false">IF(AND(D20&lt;&gt;"",E20&lt;&gt;""),(D20-E20)^2,"")</f>
        <v/>
      </c>
      <c r="G20" s="12"/>
      <c r="H20" s="18" t="str">
        <f aca="false">IF(D20="","",FLOOR(D20,0.1))</f>
        <v/>
      </c>
    </row>
    <row r="21" customFormat="false" ht="15" hidden="false" customHeight="false" outlineLevel="0" collapsed="false">
      <c r="A21" s="12"/>
      <c r="B21" s="12"/>
      <c r="C21" s="12"/>
      <c r="D21" s="16"/>
      <c r="E21" s="20"/>
      <c r="F21" s="25" t="str">
        <f aca="false">IF(AND(D21&lt;&gt;"",E21&lt;&gt;""),(D21-E21)^2,"")</f>
        <v/>
      </c>
      <c r="G21" s="12"/>
      <c r="H21" s="18" t="str">
        <f aca="false">IF(D21="","",FLOOR(D21,0.1))</f>
        <v/>
      </c>
    </row>
    <row r="22" customFormat="false" ht="15" hidden="false" customHeight="false" outlineLevel="0" collapsed="false">
      <c r="A22" s="12"/>
      <c r="B22" s="12"/>
      <c r="C22" s="12"/>
      <c r="D22" s="16"/>
      <c r="E22" s="20"/>
      <c r="F22" s="25" t="str">
        <f aca="false">IF(AND(D22&lt;&gt;"",E22&lt;&gt;""),(D22-E22)^2,"")</f>
        <v/>
      </c>
      <c r="G22" s="12"/>
      <c r="H22" s="18" t="str">
        <f aca="false">IF(D22="","",FLOOR(D22,0.1))</f>
        <v/>
      </c>
    </row>
    <row r="23" customFormat="false" ht="15" hidden="false" customHeight="false" outlineLevel="0" collapsed="false">
      <c r="A23" s="12"/>
      <c r="B23" s="12"/>
      <c r="C23" s="12"/>
      <c r="D23" s="16"/>
      <c r="E23" s="20"/>
      <c r="F23" s="25" t="str">
        <f aca="false">IF(AND(D23&lt;&gt;"",E23&lt;&gt;""),(D23-E23)^2,"")</f>
        <v/>
      </c>
      <c r="G23" s="12"/>
      <c r="H23" s="18" t="str">
        <f aca="false">IF(D23="","",FLOOR(D23,0.1))</f>
        <v/>
      </c>
    </row>
    <row r="24" customFormat="false" ht="15" hidden="false" customHeight="false" outlineLevel="0" collapsed="false">
      <c r="A24" s="12"/>
      <c r="B24" s="12"/>
      <c r="C24" s="12"/>
      <c r="D24" s="16"/>
      <c r="E24" s="20"/>
      <c r="F24" s="25" t="str">
        <f aca="false">IF(AND(D24&lt;&gt;"",E24&lt;&gt;""),(D24-E24)^2,"")</f>
        <v/>
      </c>
      <c r="G24" s="12"/>
      <c r="H24" s="18" t="str">
        <f aca="false">IF(D24="","",FLOOR(D24,0.1))</f>
        <v/>
      </c>
    </row>
    <row r="25" customFormat="false" ht="15" hidden="false" customHeight="false" outlineLevel="0" collapsed="false">
      <c r="A25" s="12"/>
      <c r="B25" s="12"/>
      <c r="C25" s="12"/>
      <c r="D25" s="16"/>
      <c r="E25" s="20"/>
      <c r="F25" s="25" t="str">
        <f aca="false">IF(AND(D25&lt;&gt;"",E25&lt;&gt;""),(D25-E25)^2,"")</f>
        <v/>
      </c>
      <c r="G25" s="12"/>
      <c r="H25" s="18" t="str">
        <f aca="false">IF(D25="","",FLOOR(D25,0.1))</f>
        <v/>
      </c>
    </row>
    <row r="26" customFormat="false" ht="15" hidden="false" customHeight="false" outlineLevel="0" collapsed="false">
      <c r="A26" s="12"/>
      <c r="B26" s="12"/>
      <c r="C26" s="12"/>
      <c r="D26" s="16"/>
      <c r="E26" s="20"/>
      <c r="F26" s="25" t="str">
        <f aca="false">IF(AND(D26&lt;&gt;"",E26&lt;&gt;""),(D26-E26)^2,"")</f>
        <v/>
      </c>
      <c r="G26" s="12"/>
      <c r="H26" s="18" t="str">
        <f aca="false">IF(D26="","",FLOOR(D26,0.1))</f>
        <v/>
      </c>
    </row>
    <row r="27" customFormat="false" ht="15" hidden="false" customHeight="false" outlineLevel="0" collapsed="false">
      <c r="A27" s="12"/>
      <c r="B27" s="12"/>
      <c r="C27" s="12"/>
      <c r="D27" s="16"/>
      <c r="E27" s="20"/>
      <c r="F27" s="25" t="str">
        <f aca="false">IF(AND(D27&lt;&gt;"",E27&lt;&gt;""),(D27-E27)^2,"")</f>
        <v/>
      </c>
      <c r="G27" s="12"/>
      <c r="H27" s="18" t="str">
        <f aca="false">IF(D27="","",FLOOR(D27,0.1))</f>
        <v/>
      </c>
    </row>
    <row r="28" customFormat="false" ht="15" hidden="false" customHeight="false" outlineLevel="0" collapsed="false">
      <c r="A28" s="12"/>
      <c r="B28" s="12"/>
      <c r="C28" s="12"/>
      <c r="D28" s="16"/>
      <c r="E28" s="20"/>
      <c r="F28" s="25" t="str">
        <f aca="false">IF(AND(D28&lt;&gt;"",E28&lt;&gt;""),(D28-E28)^2,"")</f>
        <v/>
      </c>
      <c r="G28" s="12"/>
      <c r="H28" s="18" t="str">
        <f aca="false">IF(D28="","",FLOOR(D28,0.1))</f>
        <v/>
      </c>
    </row>
    <row r="29" customFormat="false" ht="15" hidden="false" customHeight="false" outlineLevel="0" collapsed="false">
      <c r="A29" s="12"/>
      <c r="B29" s="12"/>
      <c r="C29" s="12"/>
      <c r="D29" s="16"/>
      <c r="E29" s="20"/>
      <c r="F29" s="25" t="str">
        <f aca="false">IF(AND(D29&lt;&gt;"",E29&lt;&gt;""),(D29-E29)^2,"")</f>
        <v/>
      </c>
      <c r="G29" s="12"/>
      <c r="H29" s="18" t="str">
        <f aca="false">IF(D29="","",FLOOR(D29,0.1))</f>
        <v/>
      </c>
    </row>
    <row r="30" customFormat="false" ht="15" hidden="false" customHeight="false" outlineLevel="0" collapsed="false">
      <c r="A30" s="12"/>
      <c r="B30" s="12"/>
      <c r="C30" s="12"/>
      <c r="D30" s="16"/>
      <c r="E30" s="20"/>
      <c r="F30" s="25" t="str">
        <f aca="false">IF(AND(D30&lt;&gt;"",E30&lt;&gt;""),(D30-E30)^2,"")</f>
        <v/>
      </c>
      <c r="G30" s="12"/>
      <c r="H30" s="18" t="str">
        <f aca="false">IF(D30="","",FLOOR(D30,0.1))</f>
        <v/>
      </c>
    </row>
    <row r="31" customFormat="false" ht="15" hidden="false" customHeight="false" outlineLevel="0" collapsed="false">
      <c r="A31" s="12"/>
      <c r="B31" s="12"/>
      <c r="C31" s="12"/>
      <c r="D31" s="16"/>
      <c r="E31" s="20"/>
      <c r="F31" s="25" t="str">
        <f aca="false">IF(AND(D31&lt;&gt;"",E31&lt;&gt;""),(D31-E31)^2,"")</f>
        <v/>
      </c>
      <c r="G31" s="12"/>
      <c r="H31" s="18" t="str">
        <f aca="false">IF(D31="","",FLOOR(D31,0.1))</f>
        <v/>
      </c>
    </row>
    <row r="32" customFormat="false" ht="15" hidden="false" customHeight="false" outlineLevel="0" collapsed="false">
      <c r="A32" s="12"/>
      <c r="B32" s="12"/>
      <c r="C32" s="12"/>
      <c r="D32" s="16"/>
      <c r="E32" s="20"/>
      <c r="F32" s="25" t="str">
        <f aca="false">IF(AND(D32&lt;&gt;"",E32&lt;&gt;""),(D32-E32)^2,"")</f>
        <v/>
      </c>
      <c r="G32" s="12"/>
      <c r="H32" s="18" t="str">
        <f aca="false">IF(D32="","",FLOOR(D32,0.1))</f>
        <v/>
      </c>
    </row>
    <row r="33" customFormat="false" ht="15" hidden="false" customHeight="false" outlineLevel="0" collapsed="false">
      <c r="A33" s="12"/>
      <c r="B33" s="12"/>
      <c r="C33" s="12"/>
      <c r="D33" s="16"/>
      <c r="E33" s="20"/>
      <c r="F33" s="25" t="str">
        <f aca="false">IF(AND(D33&lt;&gt;"",E33&lt;&gt;""),(D33-E33)^2,"")</f>
        <v/>
      </c>
      <c r="G33" s="12"/>
      <c r="H33" s="18" t="str">
        <f aca="false">IF(D33="","",FLOOR(D33,0.1))</f>
        <v/>
      </c>
    </row>
    <row r="34" customFormat="false" ht="15" hidden="false" customHeight="false" outlineLevel="0" collapsed="false">
      <c r="A34" s="12"/>
      <c r="B34" s="12"/>
      <c r="C34" s="12"/>
      <c r="D34" s="16"/>
      <c r="E34" s="20"/>
      <c r="F34" s="25" t="str">
        <f aca="false">IF(AND(D34&lt;&gt;"",E34&lt;&gt;""),(D34-E34)^2,"")</f>
        <v/>
      </c>
      <c r="G34" s="12"/>
      <c r="H34" s="18" t="str">
        <f aca="false">IF(D34="","",FLOOR(D34,0.1))</f>
        <v/>
      </c>
    </row>
    <row r="35" customFormat="false" ht="15" hidden="false" customHeight="false" outlineLevel="0" collapsed="false">
      <c r="A35" s="12"/>
      <c r="B35" s="12"/>
      <c r="C35" s="12"/>
      <c r="D35" s="16"/>
      <c r="E35" s="20"/>
      <c r="F35" s="25" t="str">
        <f aca="false">IF(AND(D35&lt;&gt;"",E35&lt;&gt;""),(D35-E35)^2,"")</f>
        <v/>
      </c>
      <c r="G35" s="12"/>
      <c r="H35" s="18" t="str">
        <f aca="false">IF(D35="","",FLOOR(D35,0.1))</f>
        <v/>
      </c>
    </row>
    <row r="36" customFormat="false" ht="15" hidden="false" customHeight="false" outlineLevel="0" collapsed="false">
      <c r="A36" s="12"/>
      <c r="B36" s="12"/>
      <c r="C36" s="12"/>
      <c r="D36" s="16"/>
      <c r="E36" s="20"/>
      <c r="F36" s="25" t="str">
        <f aca="false">IF(AND(D36&lt;&gt;"",E36&lt;&gt;""),(D36-E36)^2,"")</f>
        <v/>
      </c>
      <c r="G36" s="12"/>
      <c r="H36" s="18" t="str">
        <f aca="false">IF(D36="","",FLOOR(D36,0.1))</f>
        <v/>
      </c>
    </row>
    <row r="37" customFormat="false" ht="15" hidden="false" customHeight="false" outlineLevel="0" collapsed="false">
      <c r="A37" s="12"/>
      <c r="B37" s="12"/>
      <c r="C37" s="12"/>
      <c r="D37" s="16"/>
      <c r="E37" s="20"/>
      <c r="F37" s="25" t="str">
        <f aca="false">IF(AND(D37&lt;&gt;"",E37&lt;&gt;""),(D37-E37)^2,"")</f>
        <v/>
      </c>
      <c r="G37" s="12"/>
      <c r="H37" s="18" t="str">
        <f aca="false">IF(D37="","",FLOOR(D37,0.1))</f>
        <v/>
      </c>
    </row>
    <row r="38" customFormat="false" ht="15" hidden="false" customHeight="false" outlineLevel="0" collapsed="false">
      <c r="A38" s="12"/>
      <c r="B38" s="12"/>
      <c r="C38" s="12"/>
      <c r="D38" s="16"/>
      <c r="E38" s="20"/>
      <c r="F38" s="25" t="str">
        <f aca="false">IF(AND(D38&lt;&gt;"",E38&lt;&gt;""),(D38-E38)^2,"")</f>
        <v/>
      </c>
      <c r="G38" s="12"/>
      <c r="H38" s="18" t="str">
        <f aca="false">IF(D38="","",FLOOR(D38,0.1))</f>
        <v/>
      </c>
    </row>
    <row r="39" customFormat="false" ht="15" hidden="false" customHeight="false" outlineLevel="0" collapsed="false">
      <c r="A39" s="12"/>
      <c r="B39" s="12"/>
      <c r="C39" s="12"/>
      <c r="D39" s="16"/>
      <c r="E39" s="20"/>
      <c r="F39" s="25" t="str">
        <f aca="false">IF(AND(D39&lt;&gt;"",E39&lt;&gt;""),(D39-E39)^2,"")</f>
        <v/>
      </c>
      <c r="G39" s="12"/>
      <c r="H39" s="18" t="str">
        <f aca="false">IF(D39="","",FLOOR(D39,0.1))</f>
        <v/>
      </c>
    </row>
    <row r="40" customFormat="false" ht="15" hidden="false" customHeight="false" outlineLevel="0" collapsed="false">
      <c r="A40" s="12"/>
      <c r="B40" s="12"/>
      <c r="C40" s="12"/>
      <c r="D40" s="16"/>
      <c r="E40" s="20"/>
      <c r="F40" s="25" t="str">
        <f aca="false">IF(AND(D40&lt;&gt;"",E40&lt;&gt;""),(D40-E40)^2,"")</f>
        <v/>
      </c>
      <c r="G40" s="12"/>
      <c r="H40" s="18" t="str">
        <f aca="false">IF(D40="","",FLOOR(D40,0.1))</f>
        <v/>
      </c>
    </row>
    <row r="41" customFormat="false" ht="15" hidden="false" customHeight="false" outlineLevel="0" collapsed="false">
      <c r="A41" s="12"/>
      <c r="B41" s="12"/>
      <c r="C41" s="12"/>
      <c r="D41" s="16"/>
      <c r="E41" s="20"/>
      <c r="F41" s="25" t="str">
        <f aca="false">IF(AND(D41&lt;&gt;"",E41&lt;&gt;""),(D41-E41)^2,"")</f>
        <v/>
      </c>
      <c r="G41" s="12"/>
      <c r="H41" s="18" t="str">
        <f aca="false">IF(D41="","",FLOOR(D41,0.1))</f>
        <v/>
      </c>
    </row>
    <row r="42" customFormat="false" ht="15" hidden="false" customHeight="false" outlineLevel="0" collapsed="false">
      <c r="A42" s="12"/>
      <c r="B42" s="12"/>
      <c r="C42" s="12"/>
      <c r="D42" s="16"/>
      <c r="E42" s="20"/>
      <c r="F42" s="25" t="str">
        <f aca="false">IF(AND(D42&lt;&gt;"",E42&lt;&gt;""),(D42-E42)^2,"")</f>
        <v/>
      </c>
      <c r="G42" s="12"/>
      <c r="H42" s="18" t="str">
        <f aca="false">IF(D42="","",FLOOR(D42,0.1))</f>
        <v/>
      </c>
    </row>
    <row r="43" customFormat="false" ht="15" hidden="false" customHeight="false" outlineLevel="0" collapsed="false">
      <c r="A43" s="12"/>
      <c r="B43" s="12"/>
      <c r="C43" s="12"/>
      <c r="D43" s="16"/>
      <c r="E43" s="20"/>
      <c r="F43" s="25" t="str">
        <f aca="false">IF(AND(D43&lt;&gt;"",E43&lt;&gt;""),(D43-E43)^2,"")</f>
        <v/>
      </c>
      <c r="G43" s="12"/>
      <c r="H43" s="18" t="str">
        <f aca="false">IF(D43="","",FLOOR(D43,0.1))</f>
        <v/>
      </c>
    </row>
    <row r="44" customFormat="false" ht="15" hidden="false" customHeight="false" outlineLevel="0" collapsed="false">
      <c r="A44" s="12"/>
      <c r="B44" s="12"/>
      <c r="C44" s="12"/>
      <c r="D44" s="16"/>
      <c r="E44" s="20"/>
      <c r="F44" s="25" t="str">
        <f aca="false">IF(AND(D44&lt;&gt;"",E44&lt;&gt;""),(D44-E44)^2,"")</f>
        <v/>
      </c>
      <c r="G44" s="12"/>
      <c r="H44" s="18" t="str">
        <f aca="false">IF(D44="","",FLOOR(D44,0.1))</f>
        <v/>
      </c>
    </row>
    <row r="45" customFormat="false" ht="15" hidden="false" customHeight="false" outlineLevel="0" collapsed="false">
      <c r="A45" s="12"/>
      <c r="B45" s="12"/>
      <c r="C45" s="12"/>
      <c r="D45" s="16"/>
      <c r="E45" s="20"/>
      <c r="F45" s="25" t="str">
        <f aca="false">IF(AND(D45&lt;&gt;"",E45&lt;&gt;""),(D45-E45)^2,"")</f>
        <v/>
      </c>
      <c r="G45" s="12"/>
      <c r="H45" s="18" t="str">
        <f aca="false">IF(D45="","",FLOOR(D45,0.1))</f>
        <v/>
      </c>
    </row>
    <row r="46" customFormat="false" ht="15" hidden="false" customHeight="false" outlineLevel="0" collapsed="false">
      <c r="A46" s="12"/>
      <c r="B46" s="12"/>
      <c r="C46" s="12"/>
      <c r="D46" s="16"/>
      <c r="E46" s="20"/>
      <c r="F46" s="25" t="str">
        <f aca="false">IF(AND(D46&lt;&gt;"",E46&lt;&gt;""),(D46-E46)^2,"")</f>
        <v/>
      </c>
      <c r="G46" s="12"/>
      <c r="H46" s="18" t="str">
        <f aca="false">IF(D46="","",FLOOR(D46,0.1))</f>
        <v/>
      </c>
    </row>
    <row r="47" customFormat="false" ht="15" hidden="false" customHeight="false" outlineLevel="0" collapsed="false">
      <c r="A47" s="12"/>
      <c r="B47" s="12"/>
      <c r="C47" s="12"/>
      <c r="D47" s="16"/>
      <c r="E47" s="20"/>
      <c r="F47" s="25" t="str">
        <f aca="false">IF(AND(D47&lt;&gt;"",E47&lt;&gt;""),(D47-E47)^2,"")</f>
        <v/>
      </c>
      <c r="G47" s="12"/>
      <c r="H47" s="18" t="str">
        <f aca="false">IF(D47="","",FLOOR(D47,0.1))</f>
        <v/>
      </c>
    </row>
    <row r="48" customFormat="false" ht="15" hidden="false" customHeight="false" outlineLevel="0" collapsed="false">
      <c r="A48" s="12"/>
      <c r="B48" s="12"/>
      <c r="C48" s="12"/>
      <c r="D48" s="16"/>
      <c r="E48" s="20"/>
      <c r="F48" s="25" t="str">
        <f aca="false">IF(AND(D48&lt;&gt;"",E48&lt;&gt;""),(D48-E48)^2,"")</f>
        <v/>
      </c>
      <c r="G48" s="12"/>
      <c r="H48" s="18" t="str">
        <f aca="false">IF(D48="","",FLOOR(D48,0.1))</f>
        <v/>
      </c>
    </row>
    <row r="49" customFormat="false" ht="15" hidden="false" customHeight="false" outlineLevel="0" collapsed="false">
      <c r="A49" s="12"/>
      <c r="B49" s="12"/>
      <c r="C49" s="12"/>
      <c r="D49" s="16"/>
      <c r="E49" s="20"/>
      <c r="F49" s="25" t="str">
        <f aca="false">IF(AND(D49&lt;&gt;"",E49&lt;&gt;""),(D49-E49)^2,"")</f>
        <v/>
      </c>
      <c r="G49" s="12"/>
      <c r="H49" s="18" t="str">
        <f aca="false">IF(D49="","",FLOOR(D49,0.1))</f>
        <v/>
      </c>
    </row>
    <row r="50" customFormat="false" ht="15" hidden="false" customHeight="false" outlineLevel="0" collapsed="false">
      <c r="A50" s="12"/>
      <c r="B50" s="12"/>
      <c r="C50" s="12"/>
      <c r="D50" s="16"/>
      <c r="E50" s="20"/>
      <c r="F50" s="25" t="str">
        <f aca="false">IF(AND(D50&lt;&gt;"",E50&lt;&gt;""),(D50-E50)^2,"")</f>
        <v/>
      </c>
      <c r="G50" s="12"/>
      <c r="H50" s="18" t="str">
        <f aca="false">IF(D50="","",FLOOR(D50,0.1))</f>
        <v/>
      </c>
    </row>
    <row r="51" customFormat="false" ht="15" hidden="false" customHeight="false" outlineLevel="0" collapsed="false">
      <c r="A51" s="12"/>
      <c r="B51" s="12"/>
      <c r="C51" s="12"/>
      <c r="D51" s="16"/>
      <c r="E51" s="20"/>
      <c r="F51" s="25" t="str">
        <f aca="false">IF(AND(D51&lt;&gt;"",E51&lt;&gt;""),(D51-E51)^2,"")</f>
        <v/>
      </c>
      <c r="G51" s="12"/>
      <c r="H51" s="18" t="str">
        <f aca="false">IF(D51="","",FLOOR(D51,0.1))</f>
        <v/>
      </c>
    </row>
    <row r="52" customFormat="false" ht="15" hidden="false" customHeight="false" outlineLevel="0" collapsed="false">
      <c r="A52" s="12"/>
      <c r="B52" s="12"/>
      <c r="C52" s="12"/>
      <c r="D52" s="16"/>
      <c r="E52" s="20"/>
      <c r="F52" s="25" t="str">
        <f aca="false">IF(AND(D52&lt;&gt;"",E52&lt;&gt;""),(D52-E52)^2,"")</f>
        <v/>
      </c>
      <c r="G52" s="12"/>
      <c r="H52" s="18" t="str">
        <f aca="false">IF(D52="","",FLOOR(D52,0.1))</f>
        <v/>
      </c>
    </row>
    <row r="53" customFormat="false" ht="15" hidden="false" customHeight="false" outlineLevel="0" collapsed="false">
      <c r="A53" s="12"/>
      <c r="B53" s="12"/>
      <c r="C53" s="12"/>
      <c r="D53" s="16"/>
      <c r="E53" s="20"/>
      <c r="F53" s="25" t="str">
        <f aca="false">IF(AND(D53&lt;&gt;"",E53&lt;&gt;""),(D53-E53)^2,"")</f>
        <v/>
      </c>
      <c r="G53" s="12"/>
      <c r="H53" s="18" t="str">
        <f aca="false">IF(D53="","",FLOOR(D53,0.1))</f>
        <v/>
      </c>
    </row>
    <row r="54" customFormat="false" ht="15" hidden="false" customHeight="false" outlineLevel="0" collapsed="false">
      <c r="A54" s="12"/>
      <c r="B54" s="12"/>
      <c r="C54" s="12"/>
      <c r="D54" s="16"/>
      <c r="E54" s="20"/>
      <c r="F54" s="25" t="str">
        <f aca="false">IF(AND(D54&lt;&gt;"",E54&lt;&gt;""),(D54-E54)^2,"")</f>
        <v/>
      </c>
      <c r="G54" s="12"/>
      <c r="H54" s="18" t="str">
        <f aca="false">IF(D54="","",FLOOR(D54,0.1))</f>
        <v/>
      </c>
    </row>
    <row r="56" customFormat="false" ht="15" hidden="false" customHeight="true" outlineLevel="0" collapsed="false">
      <c r="A56" s="2" t="s">
        <v>233</v>
      </c>
      <c r="B56" s="2"/>
      <c r="C56" s="2"/>
      <c r="D56" s="2"/>
    </row>
    <row r="57" customFormat="false" ht="15" hidden="false" customHeight="false" outlineLevel="0" collapsed="false">
      <c r="A57" s="3" t="s">
        <v>234</v>
      </c>
      <c r="B57" s="11" t="n">
        <f aca="false">COUNT(F5:F54)</f>
        <v>0</v>
      </c>
    </row>
    <row r="58" customFormat="false" ht="23.85" hidden="false" customHeight="false" outlineLevel="0" collapsed="false">
      <c r="A58" s="3" t="s">
        <v>235</v>
      </c>
      <c r="B58" s="25" t="str">
        <f aca="false">IFERROR(AVERAGE(F5:F54),"-")</f>
        <v>-</v>
      </c>
    </row>
    <row r="59" customFormat="false" ht="15" hidden="false" customHeight="false" outlineLevel="0" collapsed="false">
      <c r="A59" s="3" t="s">
        <v>236</v>
      </c>
      <c r="B59" s="25" t="n">
        <v>0</v>
      </c>
    </row>
    <row r="60" customFormat="false" ht="15" hidden="false" customHeight="false" outlineLevel="0" collapsed="false">
      <c r="A60" s="3" t="s">
        <v>237</v>
      </c>
      <c r="B60" s="25" t="n">
        <v>0.25</v>
      </c>
    </row>
    <row r="61" customFormat="false" ht="15" hidden="false" customHeight="false" outlineLevel="0" collapsed="false">
      <c r="A61" s="3" t="s">
        <v>238</v>
      </c>
      <c r="B61" s="18" t="str">
        <f aca="false">IFERROR(1-B58/0.25,"-")</f>
        <v>-</v>
      </c>
    </row>
    <row r="63" customFormat="false" ht="15" hidden="false" customHeight="true" outlineLevel="0" collapsed="false">
      <c r="A63" s="2" t="s">
        <v>239</v>
      </c>
      <c r="B63" s="2"/>
      <c r="C63" s="2"/>
      <c r="D63" s="2"/>
    </row>
    <row r="64" customFormat="false" ht="15" hidden="false" customHeight="false" outlineLevel="0" collapsed="false">
      <c r="A64" s="10" t="s">
        <v>91</v>
      </c>
      <c r="B64" s="10" t="s">
        <v>240</v>
      </c>
      <c r="C64" s="10" t="s">
        <v>241</v>
      </c>
      <c r="D64" s="10" t="s">
        <v>242</v>
      </c>
    </row>
    <row r="65" customFormat="false" ht="15" hidden="false" customHeight="false" outlineLevel="0" collapsed="false">
      <c r="A65" s="26"/>
      <c r="B65" s="11" t="n">
        <f aca="false">COUNTIF(G5:G54,A65)</f>
        <v>0</v>
      </c>
      <c r="C65" s="25" t="str">
        <f aca="false">IFERROR(AVERAGEIF(G5:G54,A65,F5:F54),"-")</f>
        <v>-</v>
      </c>
      <c r="D65" s="18" t="str">
        <f aca="false">IFERROR(C65/B$58,"")</f>
        <v/>
      </c>
    </row>
    <row r="66" customFormat="false" ht="15" hidden="false" customHeight="false" outlineLevel="0" collapsed="false">
      <c r="A66" s="26"/>
      <c r="B66" s="11" t="n">
        <f aca="false">COUNTIF(G5:G54,A66)</f>
        <v>0</v>
      </c>
      <c r="C66" s="25" t="str">
        <f aca="false">IFERROR(AVERAGEIF(G5:G54,A66,F5:F54),"-")</f>
        <v>-</v>
      </c>
      <c r="D66" s="18" t="str">
        <f aca="false">IFERROR(C66/B$58,"")</f>
        <v/>
      </c>
    </row>
    <row r="67" customFormat="false" ht="15" hidden="false" customHeight="false" outlineLevel="0" collapsed="false">
      <c r="A67" s="26"/>
      <c r="B67" s="11" t="n">
        <f aca="false">COUNTIF(G5:G54,A67)</f>
        <v>0</v>
      </c>
      <c r="C67" s="25" t="str">
        <f aca="false">IFERROR(AVERAGEIF(G5:G54,A67,F5:F54),"-")</f>
        <v>-</v>
      </c>
      <c r="D67" s="18" t="str">
        <f aca="false">IFERROR(C67/B$58,"")</f>
        <v/>
      </c>
    </row>
    <row r="68" customFormat="false" ht="15" hidden="false" customHeight="false" outlineLevel="0" collapsed="false">
      <c r="A68" s="26"/>
      <c r="B68" s="11" t="n">
        <f aca="false">COUNTIF(G5:G54,A68)</f>
        <v>0</v>
      </c>
      <c r="C68" s="25" t="str">
        <f aca="false">IFERROR(AVERAGEIF(G5:G54,A68,F5:F54),"-")</f>
        <v>-</v>
      </c>
      <c r="D68" s="18" t="str">
        <f aca="false">IFERROR(C68/B$58,"")</f>
        <v/>
      </c>
    </row>
    <row r="69" customFormat="false" ht="15" hidden="false" customHeight="false" outlineLevel="0" collapsed="false">
      <c r="A69" s="26"/>
      <c r="B69" s="11" t="n">
        <f aca="false">COUNTIF(G5:G54,A69)</f>
        <v>0</v>
      </c>
      <c r="C69" s="25" t="str">
        <f aca="false">IFERROR(AVERAGEIF(G5:G54,A69,F5:F54),"-")</f>
        <v>-</v>
      </c>
      <c r="D69" s="18" t="str">
        <f aca="false">IFERROR(C69/B$58,"")</f>
        <v/>
      </c>
    </row>
    <row r="70" customFormat="false" ht="15" hidden="false" customHeight="false" outlineLevel="0" collapsed="false">
      <c r="A70" s="26"/>
      <c r="B70" s="11" t="n">
        <f aca="false">COUNTIF(G5:G54,A70)</f>
        <v>0</v>
      </c>
      <c r="C70" s="25" t="str">
        <f aca="false">IFERROR(AVERAGEIF(G5:G54,A70,F5:F54),"-")</f>
        <v>-</v>
      </c>
      <c r="D70" s="18" t="str">
        <f aca="false">IFERROR(C70/B$58,"")</f>
        <v/>
      </c>
    </row>
    <row r="71" customFormat="false" ht="15" hidden="false" customHeight="false" outlineLevel="0" collapsed="false">
      <c r="A71" s="26"/>
      <c r="B71" s="11" t="n">
        <f aca="false">COUNTIF(G5:G54,A71)</f>
        <v>0</v>
      </c>
      <c r="C71" s="25" t="str">
        <f aca="false">IFERROR(AVERAGEIF(G5:G54,A71,F5:F54),"-")</f>
        <v>-</v>
      </c>
      <c r="D71" s="18" t="str">
        <f aca="false">IFERROR(C71/B$58,"")</f>
        <v/>
      </c>
    </row>
    <row r="72" customFormat="false" ht="15" hidden="false" customHeight="false" outlineLevel="0" collapsed="false">
      <c r="A72" s="26"/>
      <c r="B72" s="11" t="n">
        <f aca="false">COUNTIF(G5:G54,A72)</f>
        <v>0</v>
      </c>
      <c r="C72" s="25" t="str">
        <f aca="false">IFERROR(AVERAGEIF(G5:G54,A72,F5:F54),"-")</f>
        <v>-</v>
      </c>
      <c r="D72" s="18" t="str">
        <f aca="false">IFERROR(C72/B$58,"")</f>
        <v/>
      </c>
    </row>
    <row r="73" customFormat="false" ht="15" hidden="false" customHeight="false" outlineLevel="0" collapsed="false">
      <c r="A73" s="26"/>
      <c r="B73" s="11" t="n">
        <f aca="false">COUNTIF(G5:G54,A73)</f>
        <v>0</v>
      </c>
      <c r="C73" s="25" t="str">
        <f aca="false">IFERROR(AVERAGEIF(G5:G54,A73,F5:F54),"-")</f>
        <v>-</v>
      </c>
      <c r="D73" s="18" t="str">
        <f aca="false">IFERROR(C73/B$58,"")</f>
        <v/>
      </c>
    </row>
    <row r="74" customFormat="false" ht="15" hidden="false" customHeight="false" outlineLevel="0" collapsed="false">
      <c r="A74" s="26"/>
      <c r="B74" s="11" t="n">
        <f aca="false">COUNTIF(G5:G54,A74)</f>
        <v>0</v>
      </c>
      <c r="C74" s="25" t="str">
        <f aca="false">IFERROR(AVERAGEIF(G5:G54,A74,F5:F54),"-")</f>
        <v>-</v>
      </c>
      <c r="D74" s="18" t="str">
        <f aca="false">IFERROR(C74/B$58,"")</f>
        <v/>
      </c>
    </row>
  </sheetData>
  <mergeCells count="4">
    <mergeCell ref="A1:H1"/>
    <mergeCell ref="A3:H3"/>
    <mergeCell ref="A56:D56"/>
    <mergeCell ref="A63:D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0" t="s">
        <v>90</v>
      </c>
      <c r="B1" s="10" t="s">
        <v>227</v>
      </c>
      <c r="C1" s="10" t="s">
        <v>243</v>
      </c>
      <c r="D1" s="10" t="s">
        <v>244</v>
      </c>
      <c r="E1" s="10" t="s">
        <v>245</v>
      </c>
      <c r="F1" s="10" t="s">
        <v>246</v>
      </c>
      <c r="G1" s="10" t="s">
        <v>247</v>
      </c>
      <c r="H1" s="10" t="s">
        <v>248</v>
      </c>
      <c r="I1" s="10" t="s">
        <v>249</v>
      </c>
      <c r="J1" s="10" t="s">
        <v>250</v>
      </c>
      <c r="K1" s="10" t="s">
        <v>251</v>
      </c>
      <c r="L1" s="10" t="s">
        <v>252</v>
      </c>
      <c r="M1" s="10" t="s">
        <v>253</v>
      </c>
    </row>
    <row r="2" customFormat="false" ht="15" hidden="false" customHeight="false" outlineLevel="0" collapsed="false">
      <c r="A2" s="27" t="n">
        <v>1</v>
      </c>
      <c r="B2" s="20"/>
      <c r="C2" s="12"/>
      <c r="D2" s="28"/>
      <c r="E2" s="28"/>
      <c r="F2" s="11" t="str">
        <f aca="false">IF(AND(D2&lt;&gt;"",E2&lt;&gt;""),E2-D2,"")</f>
        <v/>
      </c>
      <c r="G2" s="12"/>
      <c r="H2" s="12"/>
      <c r="I2" s="29"/>
      <c r="J2" s="6" t="str">
        <f aca="false">IF(I2&lt;&gt;"",'Cost Model'!I10,"")</f>
        <v/>
      </c>
      <c r="K2" s="18" t="str">
        <f aca="false">IF(AND(I2&lt;&gt;"",J2&lt;&gt;""),1-J2/I2,"")</f>
        <v/>
      </c>
      <c r="L2" s="12"/>
      <c r="M2" s="26"/>
    </row>
    <row r="3" customFormat="false" ht="15" hidden="false" customHeight="false" outlineLevel="0" collapsed="false">
      <c r="A3" s="27" t="n">
        <v>2</v>
      </c>
      <c r="B3" s="20"/>
      <c r="C3" s="12"/>
      <c r="D3" s="28"/>
      <c r="E3" s="28"/>
      <c r="F3" s="11" t="str">
        <f aca="false">IF(AND(D3&lt;&gt;"",E3&lt;&gt;""),E3-D3,"")</f>
        <v/>
      </c>
      <c r="G3" s="12"/>
      <c r="H3" s="12"/>
      <c r="I3" s="29"/>
      <c r="J3" s="6" t="str">
        <f aca="false">IF(I3&lt;&gt;"",'Cost Model'!I10,"")</f>
        <v/>
      </c>
      <c r="K3" s="18" t="str">
        <f aca="false">IF(AND(I3&lt;&gt;"",J3&lt;&gt;""),1-J3/I3,"")</f>
        <v/>
      </c>
      <c r="L3" s="12"/>
      <c r="M3" s="26"/>
    </row>
    <row r="4" customFormat="false" ht="15" hidden="false" customHeight="false" outlineLevel="0" collapsed="false">
      <c r="A4" s="27" t="n">
        <v>3</v>
      </c>
      <c r="B4" s="20"/>
      <c r="C4" s="12"/>
      <c r="D4" s="28"/>
      <c r="E4" s="28"/>
      <c r="F4" s="11" t="str">
        <f aca="false">IF(AND(D4&lt;&gt;"",E4&lt;&gt;""),E4-D4,"")</f>
        <v/>
      </c>
      <c r="G4" s="12"/>
      <c r="H4" s="12"/>
      <c r="I4" s="29"/>
      <c r="J4" s="6" t="str">
        <f aca="false">IF(I4&lt;&gt;"",'Cost Model'!I10,"")</f>
        <v/>
      </c>
      <c r="K4" s="18" t="str">
        <f aca="false">IF(AND(I4&lt;&gt;"",J4&lt;&gt;""),1-J4/I4,"")</f>
        <v/>
      </c>
      <c r="L4" s="12"/>
      <c r="M4" s="26"/>
    </row>
    <row r="5" customFormat="false" ht="15" hidden="false" customHeight="false" outlineLevel="0" collapsed="false">
      <c r="A5" s="27" t="n">
        <v>4</v>
      </c>
      <c r="B5" s="20"/>
      <c r="C5" s="12"/>
      <c r="D5" s="28"/>
      <c r="E5" s="28"/>
      <c r="F5" s="11" t="str">
        <f aca="false">IF(AND(D5&lt;&gt;"",E5&lt;&gt;""),E5-D5,"")</f>
        <v/>
      </c>
      <c r="G5" s="12"/>
      <c r="H5" s="12"/>
      <c r="I5" s="29"/>
      <c r="J5" s="6" t="str">
        <f aca="false">IF(I5&lt;&gt;"",'Cost Model'!I10,"")</f>
        <v/>
      </c>
      <c r="K5" s="18" t="str">
        <f aca="false">IF(AND(I5&lt;&gt;"",J5&lt;&gt;""),1-J5/I5,"")</f>
        <v/>
      </c>
      <c r="L5" s="12"/>
      <c r="M5" s="26"/>
    </row>
    <row r="6" customFormat="false" ht="15" hidden="false" customHeight="false" outlineLevel="0" collapsed="false">
      <c r="A6" s="27" t="n">
        <v>5</v>
      </c>
      <c r="B6" s="20"/>
      <c r="C6" s="12"/>
      <c r="D6" s="28"/>
      <c r="E6" s="28"/>
      <c r="F6" s="11" t="str">
        <f aca="false">IF(AND(D6&lt;&gt;"",E6&lt;&gt;""),E6-D6,"")</f>
        <v/>
      </c>
      <c r="G6" s="12"/>
      <c r="H6" s="12"/>
      <c r="I6" s="29"/>
      <c r="J6" s="6" t="str">
        <f aca="false">IF(I6&lt;&gt;"",'Cost Model'!I10,"")</f>
        <v/>
      </c>
      <c r="K6" s="18" t="str">
        <f aca="false">IF(AND(I6&lt;&gt;"",J6&lt;&gt;""),1-J6/I6,"")</f>
        <v/>
      </c>
      <c r="L6" s="12"/>
      <c r="M6" s="26"/>
    </row>
    <row r="7" customFormat="false" ht="15" hidden="false" customHeight="false" outlineLevel="0" collapsed="false">
      <c r="A7" s="27" t="n">
        <v>6</v>
      </c>
      <c r="B7" s="20"/>
      <c r="C7" s="12"/>
      <c r="D7" s="28"/>
      <c r="E7" s="28"/>
      <c r="F7" s="11" t="str">
        <f aca="false">IF(AND(D7&lt;&gt;"",E7&lt;&gt;""),E7-D7,"")</f>
        <v/>
      </c>
      <c r="G7" s="12"/>
      <c r="H7" s="12"/>
      <c r="I7" s="29"/>
      <c r="J7" s="6" t="str">
        <f aca="false">IF(I7&lt;&gt;"",'Cost Model'!I10,"")</f>
        <v/>
      </c>
      <c r="K7" s="18" t="str">
        <f aca="false">IF(AND(I7&lt;&gt;"",J7&lt;&gt;""),1-J7/I7,"")</f>
        <v/>
      </c>
      <c r="L7" s="12"/>
      <c r="M7" s="26"/>
    </row>
    <row r="8" customFormat="false" ht="15" hidden="false" customHeight="false" outlineLevel="0" collapsed="false">
      <c r="A8" s="27" t="n">
        <v>7</v>
      </c>
      <c r="B8" s="20"/>
      <c r="C8" s="12"/>
      <c r="D8" s="28"/>
      <c r="E8" s="28"/>
      <c r="F8" s="11" t="str">
        <f aca="false">IF(AND(D8&lt;&gt;"",E8&lt;&gt;""),E8-D8,"")</f>
        <v/>
      </c>
      <c r="G8" s="12"/>
      <c r="H8" s="12"/>
      <c r="I8" s="29"/>
      <c r="J8" s="6" t="str">
        <f aca="false">IF(I8&lt;&gt;"",'Cost Model'!I10,"")</f>
        <v/>
      </c>
      <c r="K8" s="18" t="str">
        <f aca="false">IF(AND(I8&lt;&gt;"",J8&lt;&gt;""),1-J8/I8,"")</f>
        <v/>
      </c>
      <c r="L8" s="12"/>
      <c r="M8" s="26"/>
    </row>
    <row r="9" customFormat="false" ht="15" hidden="false" customHeight="false" outlineLevel="0" collapsed="false">
      <c r="A9" s="27" t="n">
        <v>8</v>
      </c>
      <c r="B9" s="20"/>
      <c r="C9" s="12"/>
      <c r="D9" s="28"/>
      <c r="E9" s="28"/>
      <c r="F9" s="11" t="str">
        <f aca="false">IF(AND(D9&lt;&gt;"",E9&lt;&gt;""),E9-D9,"")</f>
        <v/>
      </c>
      <c r="G9" s="12"/>
      <c r="H9" s="12"/>
      <c r="I9" s="29"/>
      <c r="J9" s="6" t="str">
        <f aca="false">IF(I9&lt;&gt;"",'Cost Model'!I10,"")</f>
        <v/>
      </c>
      <c r="K9" s="18" t="str">
        <f aca="false">IF(AND(I9&lt;&gt;"",J9&lt;&gt;""),1-J9/I9,"")</f>
        <v/>
      </c>
      <c r="L9" s="12"/>
      <c r="M9" s="26"/>
    </row>
    <row r="10" customFormat="false" ht="15" hidden="false" customHeight="false" outlineLevel="0" collapsed="false">
      <c r="A10" s="27" t="n">
        <v>9</v>
      </c>
      <c r="B10" s="20"/>
      <c r="C10" s="12"/>
      <c r="D10" s="28"/>
      <c r="E10" s="28"/>
      <c r="F10" s="11" t="str">
        <f aca="false">IF(AND(D10&lt;&gt;"",E10&lt;&gt;""),E10-D10,"")</f>
        <v/>
      </c>
      <c r="G10" s="12"/>
      <c r="H10" s="12"/>
      <c r="I10" s="29"/>
      <c r="J10" s="6" t="str">
        <f aca="false">IF(I10&lt;&gt;"",'Cost Model'!I10,"")</f>
        <v/>
      </c>
      <c r="K10" s="18" t="str">
        <f aca="false">IF(AND(I10&lt;&gt;"",J10&lt;&gt;""),1-J10/I10,"")</f>
        <v/>
      </c>
      <c r="L10" s="12"/>
      <c r="M10" s="26"/>
    </row>
    <row r="11" customFormat="false" ht="15" hidden="false" customHeight="false" outlineLevel="0" collapsed="false">
      <c r="A11" s="27" t="n">
        <v>10</v>
      </c>
      <c r="B11" s="20"/>
      <c r="C11" s="12"/>
      <c r="D11" s="28"/>
      <c r="E11" s="28"/>
      <c r="F11" s="11" t="str">
        <f aca="false">IF(AND(D11&lt;&gt;"",E11&lt;&gt;""),E11-D11,"")</f>
        <v/>
      </c>
      <c r="G11" s="12"/>
      <c r="H11" s="12"/>
      <c r="I11" s="29"/>
      <c r="J11" s="6" t="str">
        <f aca="false">IF(I11&lt;&gt;"",'Cost Model'!I10,"")</f>
        <v/>
      </c>
      <c r="K11" s="18" t="str">
        <f aca="false">IF(AND(I11&lt;&gt;"",J11&lt;&gt;""),1-J11/I11,"")</f>
        <v/>
      </c>
      <c r="L11" s="12"/>
      <c r="M11" s="26"/>
    </row>
    <row r="12" customFormat="false" ht="15" hidden="false" customHeight="false" outlineLevel="0" collapsed="false">
      <c r="A12" s="27" t="n">
        <v>11</v>
      </c>
      <c r="B12" s="20"/>
      <c r="C12" s="12"/>
      <c r="D12" s="28"/>
      <c r="E12" s="28"/>
      <c r="F12" s="11" t="str">
        <f aca="false">IF(AND(D12&lt;&gt;"",E12&lt;&gt;""),E12-D12,"")</f>
        <v/>
      </c>
      <c r="G12" s="12"/>
      <c r="H12" s="12"/>
      <c r="I12" s="29"/>
      <c r="J12" s="6" t="str">
        <f aca="false">IF(I12&lt;&gt;"",'Cost Model'!I10,"")</f>
        <v/>
      </c>
      <c r="K12" s="18" t="str">
        <f aca="false">IF(AND(I12&lt;&gt;"",J12&lt;&gt;""),1-J12/I12,"")</f>
        <v/>
      </c>
      <c r="L12" s="12"/>
      <c r="M12" s="26"/>
    </row>
    <row r="13" customFormat="false" ht="15" hidden="false" customHeight="false" outlineLevel="0" collapsed="false">
      <c r="A13" s="27" t="n">
        <v>12</v>
      </c>
      <c r="B13" s="20"/>
      <c r="C13" s="12"/>
      <c r="D13" s="28"/>
      <c r="E13" s="28"/>
      <c r="F13" s="11" t="str">
        <f aca="false">IF(AND(D13&lt;&gt;"",E13&lt;&gt;""),E13-D13,"")</f>
        <v/>
      </c>
      <c r="G13" s="12"/>
      <c r="H13" s="12"/>
      <c r="I13" s="29"/>
      <c r="J13" s="6" t="str">
        <f aca="false">IF(I13&lt;&gt;"",'Cost Model'!I10,"")</f>
        <v/>
      </c>
      <c r="K13" s="18" t="str">
        <f aca="false">IF(AND(I13&lt;&gt;"",J13&lt;&gt;""),1-J13/I13,"")</f>
        <v/>
      </c>
      <c r="L13" s="12"/>
      <c r="M13" s="26"/>
    </row>
    <row r="14" customFormat="false" ht="15" hidden="false" customHeight="false" outlineLevel="0" collapsed="false">
      <c r="A14" s="27" t="n">
        <v>13</v>
      </c>
      <c r="B14" s="20"/>
      <c r="C14" s="12"/>
      <c r="D14" s="28"/>
      <c r="E14" s="28"/>
      <c r="F14" s="11" t="str">
        <f aca="false">IF(AND(D14&lt;&gt;"",E14&lt;&gt;""),E14-D14,"")</f>
        <v/>
      </c>
      <c r="G14" s="12"/>
      <c r="H14" s="12"/>
      <c r="I14" s="29"/>
      <c r="J14" s="6" t="str">
        <f aca="false">IF(I14&lt;&gt;"",'Cost Model'!I10,"")</f>
        <v/>
      </c>
      <c r="K14" s="18" t="str">
        <f aca="false">IF(AND(I14&lt;&gt;"",J14&lt;&gt;""),1-J14/I14,"")</f>
        <v/>
      </c>
      <c r="L14" s="12"/>
      <c r="M14" s="26"/>
    </row>
    <row r="15" customFormat="false" ht="15" hidden="false" customHeight="false" outlineLevel="0" collapsed="false">
      <c r="A15" s="27" t="n">
        <v>14</v>
      </c>
      <c r="B15" s="20"/>
      <c r="C15" s="12"/>
      <c r="D15" s="28"/>
      <c r="E15" s="28"/>
      <c r="F15" s="11" t="str">
        <f aca="false">IF(AND(D15&lt;&gt;"",E15&lt;&gt;""),E15-D15,"")</f>
        <v/>
      </c>
      <c r="G15" s="12"/>
      <c r="H15" s="12"/>
      <c r="I15" s="29"/>
      <c r="J15" s="6" t="str">
        <f aca="false">IF(I15&lt;&gt;"",'Cost Model'!I10,"")</f>
        <v/>
      </c>
      <c r="K15" s="18" t="str">
        <f aca="false">IF(AND(I15&lt;&gt;"",J15&lt;&gt;""),1-J15/I15,"")</f>
        <v/>
      </c>
      <c r="L15" s="12"/>
      <c r="M15" s="26"/>
    </row>
    <row r="16" customFormat="false" ht="15" hidden="false" customHeight="false" outlineLevel="0" collapsed="false">
      <c r="A16" s="27" t="n">
        <v>15</v>
      </c>
      <c r="B16" s="20"/>
      <c r="C16" s="12"/>
      <c r="D16" s="28"/>
      <c r="E16" s="28"/>
      <c r="F16" s="11" t="str">
        <f aca="false">IF(AND(D16&lt;&gt;"",E16&lt;&gt;""),E16-D16,"")</f>
        <v/>
      </c>
      <c r="G16" s="12"/>
      <c r="H16" s="12"/>
      <c r="I16" s="29"/>
      <c r="J16" s="6" t="str">
        <f aca="false">IF(I16&lt;&gt;"",'Cost Model'!I10,"")</f>
        <v/>
      </c>
      <c r="K16" s="18" t="str">
        <f aca="false">IF(AND(I16&lt;&gt;"",J16&lt;&gt;""),1-J16/I16,"")</f>
        <v/>
      </c>
      <c r="L16" s="12"/>
      <c r="M16" s="26"/>
    </row>
    <row r="17" customFormat="false" ht="15" hidden="false" customHeight="false" outlineLevel="0" collapsed="false">
      <c r="A17" s="27" t="n">
        <v>16</v>
      </c>
      <c r="B17" s="20"/>
      <c r="C17" s="12"/>
      <c r="D17" s="28"/>
      <c r="E17" s="28"/>
      <c r="F17" s="11" t="str">
        <f aca="false">IF(AND(D17&lt;&gt;"",E17&lt;&gt;""),E17-D17,"")</f>
        <v/>
      </c>
      <c r="G17" s="12"/>
      <c r="H17" s="12"/>
      <c r="I17" s="29"/>
      <c r="J17" s="6" t="str">
        <f aca="false">IF(I17&lt;&gt;"",'Cost Model'!I10,"")</f>
        <v/>
      </c>
      <c r="K17" s="18" t="str">
        <f aca="false">IF(AND(I17&lt;&gt;"",J17&lt;&gt;""),1-J17/I17,"")</f>
        <v/>
      </c>
      <c r="L17" s="12"/>
      <c r="M17" s="26"/>
    </row>
    <row r="18" customFormat="false" ht="15" hidden="false" customHeight="false" outlineLevel="0" collapsed="false">
      <c r="A18" s="27" t="n">
        <v>17</v>
      </c>
      <c r="B18" s="20"/>
      <c r="C18" s="12"/>
      <c r="D18" s="28"/>
      <c r="E18" s="28"/>
      <c r="F18" s="11" t="str">
        <f aca="false">IF(AND(D18&lt;&gt;"",E18&lt;&gt;""),E18-D18,"")</f>
        <v/>
      </c>
      <c r="G18" s="12"/>
      <c r="H18" s="12"/>
      <c r="I18" s="29"/>
      <c r="J18" s="6" t="str">
        <f aca="false">IF(I18&lt;&gt;"",'Cost Model'!I10,"")</f>
        <v/>
      </c>
      <c r="K18" s="18" t="str">
        <f aca="false">IF(AND(I18&lt;&gt;"",J18&lt;&gt;""),1-J18/I18,"")</f>
        <v/>
      </c>
      <c r="L18" s="12"/>
      <c r="M18" s="26"/>
    </row>
    <row r="19" customFormat="false" ht="15" hidden="false" customHeight="false" outlineLevel="0" collapsed="false">
      <c r="A19" s="27" t="n">
        <v>18</v>
      </c>
      <c r="B19" s="20"/>
      <c r="C19" s="12"/>
      <c r="D19" s="28"/>
      <c r="E19" s="28"/>
      <c r="F19" s="11" t="str">
        <f aca="false">IF(AND(D19&lt;&gt;"",E19&lt;&gt;""),E19-D19,"")</f>
        <v/>
      </c>
      <c r="G19" s="12"/>
      <c r="H19" s="12"/>
      <c r="I19" s="29"/>
      <c r="J19" s="6" t="str">
        <f aca="false">IF(I19&lt;&gt;"",'Cost Model'!I10,"")</f>
        <v/>
      </c>
      <c r="K19" s="18" t="str">
        <f aca="false">IF(AND(I19&lt;&gt;"",J19&lt;&gt;""),1-J19/I19,"")</f>
        <v/>
      </c>
      <c r="L19" s="12"/>
      <c r="M19" s="26"/>
    </row>
    <row r="20" customFormat="false" ht="15" hidden="false" customHeight="false" outlineLevel="0" collapsed="false">
      <c r="A20" s="27" t="n">
        <v>19</v>
      </c>
      <c r="B20" s="20"/>
      <c r="C20" s="12"/>
      <c r="D20" s="28"/>
      <c r="E20" s="28"/>
      <c r="F20" s="11" t="str">
        <f aca="false">IF(AND(D20&lt;&gt;"",E20&lt;&gt;""),E20-D20,"")</f>
        <v/>
      </c>
      <c r="G20" s="12"/>
      <c r="H20" s="12"/>
      <c r="I20" s="29"/>
      <c r="J20" s="6" t="str">
        <f aca="false">IF(I20&lt;&gt;"",'Cost Model'!I10,"")</f>
        <v/>
      </c>
      <c r="K20" s="18" t="str">
        <f aca="false">IF(AND(I20&lt;&gt;"",J20&lt;&gt;""),1-J20/I20,"")</f>
        <v/>
      </c>
      <c r="L20" s="12"/>
      <c r="M20" s="26"/>
    </row>
    <row r="21" customFormat="false" ht="15" hidden="false" customHeight="false" outlineLevel="0" collapsed="false">
      <c r="A21" s="27" t="n">
        <v>20</v>
      </c>
      <c r="B21" s="20"/>
      <c r="C21" s="12"/>
      <c r="D21" s="28"/>
      <c r="E21" s="28"/>
      <c r="F21" s="11" t="str">
        <f aca="false">IF(AND(D21&lt;&gt;"",E21&lt;&gt;""),E21-D21,"")</f>
        <v/>
      </c>
      <c r="G21" s="12"/>
      <c r="H21" s="12"/>
      <c r="I21" s="29"/>
      <c r="J21" s="6" t="str">
        <f aca="false">IF(I21&lt;&gt;"",'Cost Model'!I10,"")</f>
        <v/>
      </c>
      <c r="K21" s="18" t="str">
        <f aca="false">IF(AND(I21&lt;&gt;"",J21&lt;&gt;""),1-J21/I21,"")</f>
        <v/>
      </c>
      <c r="L21" s="12"/>
      <c r="M21" s="26"/>
    </row>
    <row r="22" customFormat="false" ht="15" hidden="false" customHeight="false" outlineLevel="0" collapsed="false">
      <c r="A22" s="27" t="n">
        <v>21</v>
      </c>
      <c r="B22" s="20"/>
      <c r="C22" s="12"/>
      <c r="D22" s="28"/>
      <c r="E22" s="28"/>
      <c r="F22" s="11" t="str">
        <f aca="false">IF(AND(D22&lt;&gt;"",E22&lt;&gt;""),E22-D22,"")</f>
        <v/>
      </c>
      <c r="G22" s="12"/>
      <c r="H22" s="12"/>
      <c r="I22" s="29"/>
      <c r="J22" s="6" t="str">
        <f aca="false">IF(I22&lt;&gt;"",'Cost Model'!I10,"")</f>
        <v/>
      </c>
      <c r="K22" s="18" t="str">
        <f aca="false">IF(AND(I22&lt;&gt;"",J22&lt;&gt;""),1-J22/I22,"")</f>
        <v/>
      </c>
      <c r="L22" s="12"/>
      <c r="M22" s="26"/>
    </row>
    <row r="23" customFormat="false" ht="15" hidden="false" customHeight="false" outlineLevel="0" collapsed="false">
      <c r="A23" s="27" t="n">
        <v>22</v>
      </c>
      <c r="B23" s="20"/>
      <c r="C23" s="12"/>
      <c r="D23" s="28"/>
      <c r="E23" s="28"/>
      <c r="F23" s="11" t="str">
        <f aca="false">IF(AND(D23&lt;&gt;"",E23&lt;&gt;""),E23-D23,"")</f>
        <v/>
      </c>
      <c r="G23" s="12"/>
      <c r="H23" s="12"/>
      <c r="I23" s="29"/>
      <c r="J23" s="6" t="str">
        <f aca="false">IF(I23&lt;&gt;"",'Cost Model'!I10,"")</f>
        <v/>
      </c>
      <c r="K23" s="18" t="str">
        <f aca="false">IF(AND(I23&lt;&gt;"",J23&lt;&gt;""),1-J23/I23,"")</f>
        <v/>
      </c>
      <c r="L23" s="12"/>
      <c r="M23" s="26"/>
    </row>
    <row r="24" customFormat="false" ht="15" hidden="false" customHeight="false" outlineLevel="0" collapsed="false">
      <c r="A24" s="27" t="n">
        <v>23</v>
      </c>
      <c r="B24" s="20"/>
      <c r="C24" s="12"/>
      <c r="D24" s="28"/>
      <c r="E24" s="28"/>
      <c r="F24" s="11" t="str">
        <f aca="false">IF(AND(D24&lt;&gt;"",E24&lt;&gt;""),E24-D24,"")</f>
        <v/>
      </c>
      <c r="G24" s="12"/>
      <c r="H24" s="12"/>
      <c r="I24" s="29"/>
      <c r="J24" s="6" t="str">
        <f aca="false">IF(I24&lt;&gt;"",'Cost Model'!I10,"")</f>
        <v/>
      </c>
      <c r="K24" s="18" t="str">
        <f aca="false">IF(AND(I24&lt;&gt;"",J24&lt;&gt;""),1-J24/I24,"")</f>
        <v/>
      </c>
      <c r="L24" s="12"/>
      <c r="M24" s="26"/>
    </row>
    <row r="25" customFormat="false" ht="15" hidden="false" customHeight="false" outlineLevel="0" collapsed="false">
      <c r="A25" s="27" t="n">
        <v>24</v>
      </c>
      <c r="B25" s="20"/>
      <c r="C25" s="12"/>
      <c r="D25" s="28"/>
      <c r="E25" s="28"/>
      <c r="F25" s="11" t="str">
        <f aca="false">IF(AND(D25&lt;&gt;"",E25&lt;&gt;""),E25-D25,"")</f>
        <v/>
      </c>
      <c r="G25" s="12"/>
      <c r="H25" s="12"/>
      <c r="I25" s="29"/>
      <c r="J25" s="6" t="str">
        <f aca="false">IF(I25&lt;&gt;"",'Cost Model'!I10,"")</f>
        <v/>
      </c>
      <c r="K25" s="18" t="str">
        <f aca="false">IF(AND(I25&lt;&gt;"",J25&lt;&gt;""),1-J25/I25,"")</f>
        <v/>
      </c>
      <c r="L25" s="12"/>
      <c r="M25" s="26"/>
    </row>
    <row r="26" customFormat="false" ht="15" hidden="false" customHeight="false" outlineLevel="0" collapsed="false">
      <c r="A26" s="27" t="n">
        <v>25</v>
      </c>
      <c r="B26" s="20"/>
      <c r="C26" s="12"/>
      <c r="D26" s="28"/>
      <c r="E26" s="28"/>
      <c r="F26" s="11" t="str">
        <f aca="false">IF(AND(D26&lt;&gt;"",E26&lt;&gt;""),E26-D26,"")</f>
        <v/>
      </c>
      <c r="G26" s="12"/>
      <c r="H26" s="12"/>
      <c r="I26" s="29"/>
      <c r="J26" s="6" t="str">
        <f aca="false">IF(I26&lt;&gt;"",'Cost Model'!I10,"")</f>
        <v/>
      </c>
      <c r="K26" s="18" t="str">
        <f aca="false">IF(AND(I26&lt;&gt;"",J26&lt;&gt;""),1-J26/I26,"")</f>
        <v/>
      </c>
      <c r="L26" s="12"/>
      <c r="M26" s="26"/>
    </row>
    <row r="27" customFormat="false" ht="15" hidden="false" customHeight="false" outlineLevel="0" collapsed="false">
      <c r="A27" s="27" t="n">
        <v>26</v>
      </c>
      <c r="B27" s="20"/>
      <c r="C27" s="12"/>
      <c r="D27" s="28"/>
      <c r="E27" s="28"/>
      <c r="F27" s="11" t="str">
        <f aca="false">IF(AND(D27&lt;&gt;"",E27&lt;&gt;""),E27-D27,"")</f>
        <v/>
      </c>
      <c r="G27" s="12"/>
      <c r="H27" s="12"/>
      <c r="I27" s="29"/>
      <c r="J27" s="6" t="str">
        <f aca="false">IF(I27&lt;&gt;"",'Cost Model'!I10,"")</f>
        <v/>
      </c>
      <c r="K27" s="18" t="str">
        <f aca="false">IF(AND(I27&lt;&gt;"",J27&lt;&gt;""),1-J27/I27,"")</f>
        <v/>
      </c>
      <c r="L27" s="12"/>
      <c r="M27" s="26"/>
    </row>
    <row r="28" customFormat="false" ht="15" hidden="false" customHeight="false" outlineLevel="0" collapsed="false">
      <c r="A28" s="27" t="n">
        <v>27</v>
      </c>
      <c r="B28" s="20"/>
      <c r="C28" s="12"/>
      <c r="D28" s="28"/>
      <c r="E28" s="28"/>
      <c r="F28" s="11" t="str">
        <f aca="false">IF(AND(D28&lt;&gt;"",E28&lt;&gt;""),E28-D28,"")</f>
        <v/>
      </c>
      <c r="G28" s="12"/>
      <c r="H28" s="12"/>
      <c r="I28" s="29"/>
      <c r="J28" s="6" t="str">
        <f aca="false">IF(I28&lt;&gt;"",'Cost Model'!I10,"")</f>
        <v/>
      </c>
      <c r="K28" s="18" t="str">
        <f aca="false">IF(AND(I28&lt;&gt;"",J28&lt;&gt;""),1-J28/I28,"")</f>
        <v/>
      </c>
      <c r="L28" s="12"/>
      <c r="M28" s="26"/>
    </row>
    <row r="29" customFormat="false" ht="15" hidden="false" customHeight="false" outlineLevel="0" collapsed="false">
      <c r="A29" s="27" t="n">
        <v>28</v>
      </c>
      <c r="B29" s="20"/>
      <c r="C29" s="12"/>
      <c r="D29" s="28"/>
      <c r="E29" s="28"/>
      <c r="F29" s="11" t="str">
        <f aca="false">IF(AND(D29&lt;&gt;"",E29&lt;&gt;""),E29-D29,"")</f>
        <v/>
      </c>
      <c r="G29" s="12"/>
      <c r="H29" s="12"/>
      <c r="I29" s="29"/>
      <c r="J29" s="6" t="str">
        <f aca="false">IF(I29&lt;&gt;"",'Cost Model'!I10,"")</f>
        <v/>
      </c>
      <c r="K29" s="18" t="str">
        <f aca="false">IF(AND(I29&lt;&gt;"",J29&lt;&gt;""),1-J29/I29,"")</f>
        <v/>
      </c>
      <c r="L29" s="12"/>
      <c r="M29" s="26"/>
    </row>
    <row r="30" customFormat="false" ht="15" hidden="false" customHeight="false" outlineLevel="0" collapsed="false">
      <c r="A30" s="27" t="n">
        <v>29</v>
      </c>
      <c r="B30" s="20"/>
      <c r="C30" s="12"/>
      <c r="D30" s="28"/>
      <c r="E30" s="28"/>
      <c r="F30" s="11" t="str">
        <f aca="false">IF(AND(D30&lt;&gt;"",E30&lt;&gt;""),E30-D30,"")</f>
        <v/>
      </c>
      <c r="G30" s="12"/>
      <c r="H30" s="12"/>
      <c r="I30" s="29"/>
      <c r="J30" s="6" t="str">
        <f aca="false">IF(I30&lt;&gt;"",'Cost Model'!I10,"")</f>
        <v/>
      </c>
      <c r="K30" s="18" t="str">
        <f aca="false">IF(AND(I30&lt;&gt;"",J30&lt;&gt;""),1-J30/I30,"")</f>
        <v/>
      </c>
      <c r="L30" s="12"/>
      <c r="M30" s="26"/>
    </row>
    <row r="31" customFormat="false" ht="15" hidden="false" customHeight="false" outlineLevel="0" collapsed="false">
      <c r="A31" s="27" t="n">
        <v>30</v>
      </c>
      <c r="B31" s="20"/>
      <c r="C31" s="12"/>
      <c r="D31" s="28"/>
      <c r="E31" s="28"/>
      <c r="F31" s="11" t="str">
        <f aca="false">IF(AND(D31&lt;&gt;"",E31&lt;&gt;""),E31-D31,"")</f>
        <v/>
      </c>
      <c r="G31" s="12"/>
      <c r="H31" s="12"/>
      <c r="I31" s="29"/>
      <c r="J31" s="6" t="str">
        <f aca="false">IF(I31&lt;&gt;"",'Cost Model'!I10,"")</f>
        <v/>
      </c>
      <c r="K31" s="18" t="str">
        <f aca="false">IF(AND(I31&lt;&gt;"",J31&lt;&gt;""),1-J31/I31,"")</f>
        <v/>
      </c>
      <c r="L31" s="12"/>
      <c r="M31" s="26"/>
    </row>
    <row r="33" customFormat="false" ht="52.2" hidden="false" customHeight="false" outlineLevel="0" collapsed="false">
      <c r="A33" s="2" t="s">
        <v>254</v>
      </c>
    </row>
    <row r="34" customFormat="false" ht="46.25" hidden="false" customHeight="false" outlineLevel="0" collapsed="false">
      <c r="A34" s="3" t="s">
        <v>255</v>
      </c>
      <c r="B34" s="11" t="n">
        <f aca="false">COUNTA(B2:B31)</f>
        <v>0</v>
      </c>
    </row>
    <row r="35" customFormat="false" ht="35.05" hidden="false" customHeight="false" outlineLevel="0" collapsed="false">
      <c r="A35" s="3" t="s">
        <v>256</v>
      </c>
      <c r="B35" s="30" t="str">
        <f aca="false">IFERROR(AVERAGE(F2:F31),"-")</f>
        <v>-</v>
      </c>
    </row>
    <row r="36" customFormat="false" ht="57.45" hidden="false" customHeight="false" outlineLevel="0" collapsed="false">
      <c r="A36" s="3" t="s">
        <v>257</v>
      </c>
      <c r="B36" s="21" t="n">
        <f aca="false">SUM(I2:I31)</f>
        <v>0</v>
      </c>
    </row>
    <row r="37" customFormat="false" ht="46.25" hidden="false" customHeight="false" outlineLevel="0" collapsed="false">
      <c r="A37" s="3" t="s">
        <v>258</v>
      </c>
      <c r="B37" s="19" t="n">
        <f aca="false">SUM(J2:J31)</f>
        <v>0</v>
      </c>
    </row>
    <row r="38" customFormat="false" ht="35.05" hidden="false" customHeight="false" outlineLevel="0" collapsed="false">
      <c r="A38" s="3" t="s">
        <v>259</v>
      </c>
      <c r="B38" s="18" t="str">
        <f aca="false">IFERROR(1-B37/B36,"-")</f>
        <v>-</v>
      </c>
    </row>
  </sheetData>
  <dataValidations count="1">
    <dataValidation allowBlank="true" errorStyle="stop" operator="between" showDropDown="false" showErrorMessage="false" showInputMessage="false" sqref="L2:L31" type="list">
      <formula1>"Active,Complete,Paused,Cancelled"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0" t="s">
        <v>260</v>
      </c>
      <c r="B1" s="10" t="s">
        <v>261</v>
      </c>
      <c r="C1" s="10" t="s">
        <v>212</v>
      </c>
      <c r="D1" s="10" t="s">
        <v>262</v>
      </c>
      <c r="E1" s="10" t="s">
        <v>263</v>
      </c>
      <c r="F1" s="10" t="s">
        <v>264</v>
      </c>
      <c r="G1" s="10" t="s">
        <v>265</v>
      </c>
      <c r="H1" s="10" t="s">
        <v>266</v>
      </c>
      <c r="I1" s="10" t="s">
        <v>267</v>
      </c>
      <c r="J1" s="10" t="s">
        <v>268</v>
      </c>
    </row>
    <row r="2" customFormat="false" ht="15" hidden="false" customHeight="false" outlineLevel="0" collapsed="false">
      <c r="A2" s="31"/>
      <c r="B2" s="31"/>
      <c r="C2" s="26"/>
      <c r="D2" s="32"/>
      <c r="E2" s="32"/>
      <c r="F2" s="31"/>
      <c r="G2" s="33"/>
      <c r="H2" s="34"/>
      <c r="I2" s="26"/>
      <c r="J2" s="32"/>
    </row>
    <row r="3" customFormat="false" ht="15" hidden="false" customHeight="false" outlineLevel="0" collapsed="false">
      <c r="A3" s="31"/>
      <c r="B3" s="31"/>
      <c r="C3" s="26"/>
      <c r="D3" s="32"/>
      <c r="E3" s="32"/>
      <c r="F3" s="31"/>
      <c r="G3" s="33"/>
      <c r="H3" s="34"/>
      <c r="I3" s="26"/>
      <c r="J3" s="32"/>
    </row>
    <row r="4" customFormat="false" ht="15" hidden="false" customHeight="false" outlineLevel="0" collapsed="false">
      <c r="A4" s="31"/>
      <c r="B4" s="31"/>
      <c r="C4" s="26"/>
      <c r="D4" s="32"/>
      <c r="E4" s="32"/>
      <c r="F4" s="31"/>
      <c r="G4" s="33"/>
      <c r="H4" s="34"/>
      <c r="I4" s="26"/>
      <c r="J4" s="32"/>
    </row>
    <row r="5" customFormat="false" ht="15" hidden="false" customHeight="false" outlineLevel="0" collapsed="false">
      <c r="A5" s="31"/>
      <c r="B5" s="31"/>
      <c r="C5" s="26"/>
      <c r="D5" s="32"/>
      <c r="E5" s="32"/>
      <c r="F5" s="31"/>
      <c r="G5" s="33"/>
      <c r="H5" s="34"/>
      <c r="I5" s="26"/>
      <c r="J5" s="32"/>
    </row>
    <row r="6" customFormat="false" ht="15" hidden="false" customHeight="false" outlineLevel="0" collapsed="false">
      <c r="A6" s="31"/>
      <c r="B6" s="31"/>
      <c r="C6" s="26"/>
      <c r="D6" s="32"/>
      <c r="E6" s="32"/>
      <c r="F6" s="31"/>
      <c r="G6" s="33"/>
      <c r="H6" s="34"/>
      <c r="I6" s="26"/>
      <c r="J6" s="32"/>
    </row>
    <row r="7" customFormat="false" ht="15" hidden="false" customHeight="false" outlineLevel="0" collapsed="false">
      <c r="A7" s="31"/>
      <c r="B7" s="31"/>
      <c r="C7" s="26"/>
      <c r="D7" s="32"/>
      <c r="E7" s="32"/>
      <c r="F7" s="31"/>
      <c r="G7" s="33"/>
      <c r="H7" s="34"/>
      <c r="I7" s="26"/>
      <c r="J7" s="32"/>
    </row>
    <row r="8" customFormat="false" ht="15" hidden="false" customHeight="false" outlineLevel="0" collapsed="false">
      <c r="A8" s="31"/>
      <c r="B8" s="31"/>
      <c r="C8" s="26"/>
      <c r="D8" s="32"/>
      <c r="E8" s="32"/>
      <c r="F8" s="31"/>
      <c r="G8" s="33"/>
      <c r="H8" s="34"/>
      <c r="I8" s="26"/>
      <c r="J8" s="32"/>
    </row>
    <row r="9" customFormat="false" ht="15" hidden="false" customHeight="false" outlineLevel="0" collapsed="false">
      <c r="A9" s="31"/>
      <c r="B9" s="31"/>
      <c r="C9" s="26"/>
      <c r="D9" s="32"/>
      <c r="E9" s="32"/>
      <c r="F9" s="31"/>
      <c r="G9" s="33"/>
      <c r="H9" s="34"/>
      <c r="I9" s="26"/>
      <c r="J9" s="32"/>
    </row>
    <row r="10" customFormat="false" ht="15" hidden="false" customHeight="false" outlineLevel="0" collapsed="false">
      <c r="A10" s="31"/>
      <c r="B10" s="31"/>
      <c r="C10" s="26"/>
      <c r="D10" s="32"/>
      <c r="E10" s="32"/>
      <c r="F10" s="31"/>
      <c r="G10" s="33"/>
      <c r="H10" s="34"/>
      <c r="I10" s="26"/>
      <c r="J10" s="32"/>
    </row>
    <row r="11" customFormat="false" ht="15" hidden="false" customHeight="false" outlineLevel="0" collapsed="false">
      <c r="A11" s="31"/>
      <c r="B11" s="31"/>
      <c r="C11" s="26"/>
      <c r="D11" s="32"/>
      <c r="E11" s="32"/>
      <c r="F11" s="31"/>
      <c r="G11" s="33"/>
      <c r="H11" s="34"/>
      <c r="I11" s="26"/>
      <c r="J11" s="32"/>
    </row>
    <row r="12" customFormat="false" ht="15" hidden="false" customHeight="false" outlineLevel="0" collapsed="false">
      <c r="A12" s="31"/>
      <c r="B12" s="31"/>
      <c r="C12" s="26"/>
      <c r="D12" s="32"/>
      <c r="E12" s="32"/>
      <c r="F12" s="31"/>
      <c r="G12" s="33"/>
      <c r="H12" s="34"/>
      <c r="I12" s="26"/>
      <c r="J12" s="32"/>
    </row>
    <row r="13" customFormat="false" ht="15" hidden="false" customHeight="false" outlineLevel="0" collapsed="false">
      <c r="A13" s="31"/>
      <c r="B13" s="31"/>
      <c r="C13" s="26"/>
      <c r="D13" s="32"/>
      <c r="E13" s="32"/>
      <c r="F13" s="31"/>
      <c r="G13" s="33"/>
      <c r="H13" s="34"/>
      <c r="I13" s="26"/>
      <c r="J13" s="32"/>
    </row>
    <row r="14" customFormat="false" ht="15" hidden="false" customHeight="false" outlineLevel="0" collapsed="false">
      <c r="A14" s="31"/>
      <c r="B14" s="31"/>
      <c r="C14" s="26"/>
      <c r="D14" s="32"/>
      <c r="E14" s="32"/>
      <c r="F14" s="31"/>
      <c r="G14" s="33"/>
      <c r="H14" s="34"/>
      <c r="I14" s="26"/>
      <c r="J14" s="32"/>
    </row>
    <row r="15" customFormat="false" ht="15" hidden="false" customHeight="false" outlineLevel="0" collapsed="false">
      <c r="A15" s="31"/>
      <c r="B15" s="31"/>
      <c r="C15" s="26"/>
      <c r="D15" s="32"/>
      <c r="E15" s="32"/>
      <c r="F15" s="31"/>
      <c r="G15" s="33"/>
      <c r="H15" s="34"/>
      <c r="I15" s="26"/>
      <c r="J15" s="32"/>
    </row>
    <row r="16" customFormat="false" ht="15" hidden="false" customHeight="false" outlineLevel="0" collapsed="false">
      <c r="A16" s="31"/>
      <c r="B16" s="31"/>
      <c r="C16" s="26"/>
      <c r="D16" s="32"/>
      <c r="E16" s="32"/>
      <c r="F16" s="31"/>
      <c r="G16" s="33"/>
      <c r="H16" s="34"/>
      <c r="I16" s="26"/>
      <c r="J16" s="32"/>
    </row>
    <row r="17" customFormat="false" ht="15" hidden="false" customHeight="false" outlineLevel="0" collapsed="false">
      <c r="A17" s="31"/>
      <c r="B17" s="31"/>
      <c r="C17" s="26"/>
      <c r="D17" s="32"/>
      <c r="E17" s="32"/>
      <c r="F17" s="31"/>
      <c r="G17" s="33"/>
      <c r="H17" s="34"/>
      <c r="I17" s="26"/>
      <c r="J17" s="32"/>
    </row>
    <row r="18" customFormat="false" ht="15" hidden="false" customHeight="false" outlineLevel="0" collapsed="false">
      <c r="A18" s="31"/>
      <c r="B18" s="31"/>
      <c r="C18" s="26"/>
      <c r="D18" s="32"/>
      <c r="E18" s="32"/>
      <c r="F18" s="31"/>
      <c r="G18" s="33"/>
      <c r="H18" s="34"/>
      <c r="I18" s="26"/>
      <c r="J18" s="32"/>
    </row>
    <row r="19" customFormat="false" ht="15" hidden="false" customHeight="false" outlineLevel="0" collapsed="false">
      <c r="A19" s="31"/>
      <c r="B19" s="31"/>
      <c r="C19" s="26"/>
      <c r="D19" s="32"/>
      <c r="E19" s="32"/>
      <c r="F19" s="31"/>
      <c r="G19" s="33"/>
      <c r="H19" s="34"/>
      <c r="I19" s="26"/>
      <c r="J19" s="32"/>
    </row>
    <row r="20" customFormat="false" ht="15" hidden="false" customHeight="false" outlineLevel="0" collapsed="false">
      <c r="A20" s="31"/>
      <c r="B20" s="31"/>
      <c r="C20" s="26"/>
      <c r="D20" s="32"/>
      <c r="E20" s="32"/>
      <c r="F20" s="31"/>
      <c r="G20" s="33"/>
      <c r="H20" s="34"/>
      <c r="I20" s="26"/>
      <c r="J20" s="32"/>
    </row>
    <row r="21" customFormat="false" ht="15" hidden="false" customHeight="false" outlineLevel="0" collapsed="false">
      <c r="A21" s="31"/>
      <c r="B21" s="31"/>
      <c r="C21" s="26"/>
      <c r="D21" s="32"/>
      <c r="E21" s="32"/>
      <c r="F21" s="31"/>
      <c r="G21" s="33"/>
      <c r="H21" s="34"/>
      <c r="I21" s="26"/>
      <c r="J21" s="32"/>
    </row>
    <row r="22" customFormat="false" ht="15" hidden="false" customHeight="false" outlineLevel="0" collapsed="false">
      <c r="A22" s="31"/>
      <c r="B22" s="31"/>
      <c r="C22" s="26"/>
      <c r="D22" s="32"/>
      <c r="E22" s="32"/>
      <c r="F22" s="31"/>
      <c r="G22" s="33"/>
      <c r="H22" s="34"/>
      <c r="I22" s="26"/>
      <c r="J22" s="32"/>
    </row>
    <row r="23" customFormat="false" ht="15" hidden="false" customHeight="false" outlineLevel="0" collapsed="false">
      <c r="A23" s="31"/>
      <c r="B23" s="31"/>
      <c r="C23" s="26"/>
      <c r="D23" s="32"/>
      <c r="E23" s="32"/>
      <c r="F23" s="31"/>
      <c r="G23" s="33"/>
      <c r="H23" s="34"/>
      <c r="I23" s="26"/>
      <c r="J23" s="32"/>
    </row>
    <row r="24" customFormat="false" ht="15" hidden="false" customHeight="false" outlineLevel="0" collapsed="false">
      <c r="A24" s="31"/>
      <c r="B24" s="31"/>
      <c r="C24" s="26"/>
      <c r="D24" s="32"/>
      <c r="E24" s="32"/>
      <c r="F24" s="31"/>
      <c r="G24" s="33"/>
      <c r="H24" s="34"/>
      <c r="I24" s="26"/>
      <c r="J24" s="32"/>
    </row>
    <row r="25" customFormat="false" ht="15" hidden="false" customHeight="false" outlineLevel="0" collapsed="false">
      <c r="A25" s="31"/>
      <c r="B25" s="31"/>
      <c r="C25" s="26"/>
      <c r="D25" s="32"/>
      <c r="E25" s="32"/>
      <c r="F25" s="31"/>
      <c r="G25" s="33"/>
      <c r="H25" s="34"/>
      <c r="I25" s="26"/>
      <c r="J25" s="32"/>
    </row>
    <row r="26" customFormat="false" ht="15" hidden="false" customHeight="false" outlineLevel="0" collapsed="false">
      <c r="A26" s="31"/>
      <c r="B26" s="31"/>
      <c r="C26" s="26"/>
      <c r="D26" s="32"/>
      <c r="E26" s="32"/>
      <c r="F26" s="31"/>
      <c r="G26" s="33"/>
      <c r="H26" s="34"/>
      <c r="I26" s="26"/>
      <c r="J26" s="32"/>
    </row>
    <row r="27" customFormat="false" ht="15" hidden="false" customHeight="false" outlineLevel="0" collapsed="false">
      <c r="A27" s="31"/>
      <c r="B27" s="31"/>
      <c r="C27" s="26"/>
      <c r="D27" s="32"/>
      <c r="E27" s="32"/>
      <c r="F27" s="31"/>
      <c r="G27" s="33"/>
      <c r="H27" s="34"/>
      <c r="I27" s="26"/>
      <c r="J27" s="32"/>
    </row>
    <row r="28" customFormat="false" ht="15" hidden="false" customHeight="false" outlineLevel="0" collapsed="false">
      <c r="A28" s="31"/>
      <c r="B28" s="31"/>
      <c r="C28" s="26"/>
      <c r="D28" s="32"/>
      <c r="E28" s="32"/>
      <c r="F28" s="31"/>
      <c r="G28" s="33"/>
      <c r="H28" s="34"/>
      <c r="I28" s="26"/>
      <c r="J28" s="32"/>
    </row>
    <row r="29" customFormat="false" ht="15" hidden="false" customHeight="false" outlineLevel="0" collapsed="false">
      <c r="A29" s="31"/>
      <c r="B29" s="31"/>
      <c r="C29" s="26"/>
      <c r="D29" s="32"/>
      <c r="E29" s="32"/>
      <c r="F29" s="31"/>
      <c r="G29" s="33"/>
      <c r="H29" s="34"/>
      <c r="I29" s="26"/>
      <c r="J29" s="32"/>
    </row>
    <row r="30" customFormat="false" ht="15" hidden="false" customHeight="false" outlineLevel="0" collapsed="false">
      <c r="A30" s="31"/>
      <c r="B30" s="31"/>
      <c r="C30" s="26"/>
      <c r="D30" s="32"/>
      <c r="E30" s="32"/>
      <c r="F30" s="31"/>
      <c r="G30" s="33"/>
      <c r="H30" s="34"/>
      <c r="I30" s="26"/>
      <c r="J30" s="32"/>
    </row>
    <row r="31" customFormat="false" ht="15" hidden="false" customHeight="false" outlineLevel="0" collapsed="false">
      <c r="A31" s="31"/>
      <c r="B31" s="31"/>
      <c r="C31" s="26"/>
      <c r="D31" s="32"/>
      <c r="E31" s="32"/>
      <c r="F31" s="31"/>
      <c r="G31" s="33"/>
      <c r="H31" s="34"/>
      <c r="I31" s="26"/>
      <c r="J31" s="32"/>
    </row>
    <row r="32" customFormat="false" ht="15" hidden="false" customHeight="false" outlineLevel="0" collapsed="false">
      <c r="A32" s="31"/>
      <c r="B32" s="31"/>
      <c r="C32" s="26"/>
      <c r="D32" s="32"/>
      <c r="E32" s="32"/>
      <c r="F32" s="31"/>
      <c r="G32" s="33"/>
      <c r="H32" s="34"/>
      <c r="I32" s="26"/>
      <c r="J32" s="32"/>
    </row>
    <row r="33" customFormat="false" ht="15" hidden="false" customHeight="false" outlineLevel="0" collapsed="false">
      <c r="A33" s="31"/>
      <c r="B33" s="31"/>
      <c r="C33" s="26"/>
      <c r="D33" s="32"/>
      <c r="E33" s="32"/>
      <c r="F33" s="31"/>
      <c r="G33" s="33"/>
      <c r="H33" s="34"/>
      <c r="I33" s="26"/>
      <c r="J33" s="32"/>
    </row>
    <row r="34" customFormat="false" ht="15" hidden="false" customHeight="false" outlineLevel="0" collapsed="false">
      <c r="A34" s="31"/>
      <c r="B34" s="31"/>
      <c r="C34" s="26"/>
      <c r="D34" s="32"/>
      <c r="E34" s="32"/>
      <c r="F34" s="31"/>
      <c r="G34" s="33"/>
      <c r="H34" s="34"/>
      <c r="I34" s="26"/>
      <c r="J34" s="32"/>
    </row>
    <row r="35" customFormat="false" ht="15" hidden="false" customHeight="false" outlineLevel="0" collapsed="false">
      <c r="A35" s="31"/>
      <c r="B35" s="31"/>
      <c r="C35" s="26"/>
      <c r="D35" s="32"/>
      <c r="E35" s="32"/>
      <c r="F35" s="31"/>
      <c r="G35" s="33"/>
      <c r="H35" s="34"/>
      <c r="I35" s="26"/>
      <c r="J35" s="32"/>
    </row>
    <row r="36" customFormat="false" ht="15" hidden="false" customHeight="false" outlineLevel="0" collapsed="false">
      <c r="A36" s="31"/>
      <c r="B36" s="31"/>
      <c r="C36" s="26"/>
      <c r="D36" s="32"/>
      <c r="E36" s="32"/>
      <c r="F36" s="31"/>
      <c r="G36" s="33"/>
      <c r="H36" s="34"/>
      <c r="I36" s="26"/>
      <c r="J36" s="32"/>
    </row>
    <row r="37" customFormat="false" ht="15" hidden="false" customHeight="false" outlineLevel="0" collapsed="false">
      <c r="A37" s="31"/>
      <c r="B37" s="31"/>
      <c r="C37" s="26"/>
      <c r="D37" s="32"/>
      <c r="E37" s="32"/>
      <c r="F37" s="31"/>
      <c r="G37" s="33"/>
      <c r="H37" s="34"/>
      <c r="I37" s="26"/>
      <c r="J37" s="32"/>
    </row>
    <row r="38" customFormat="false" ht="15" hidden="false" customHeight="false" outlineLevel="0" collapsed="false">
      <c r="A38" s="31"/>
      <c r="B38" s="31"/>
      <c r="C38" s="26"/>
      <c r="D38" s="32"/>
      <c r="E38" s="32"/>
      <c r="F38" s="31"/>
      <c r="G38" s="33"/>
      <c r="H38" s="34"/>
      <c r="I38" s="26"/>
      <c r="J38" s="32"/>
    </row>
    <row r="39" customFormat="false" ht="15" hidden="false" customHeight="false" outlineLevel="0" collapsed="false">
      <c r="A39" s="31"/>
      <c r="B39" s="31"/>
      <c r="C39" s="26"/>
      <c r="D39" s="32"/>
      <c r="E39" s="32"/>
      <c r="F39" s="31"/>
      <c r="G39" s="33"/>
      <c r="H39" s="34"/>
      <c r="I39" s="26"/>
      <c r="J39" s="32"/>
    </row>
    <row r="40" customFormat="false" ht="15" hidden="false" customHeight="false" outlineLevel="0" collapsed="false">
      <c r="A40" s="31"/>
      <c r="B40" s="31"/>
      <c r="C40" s="26"/>
      <c r="D40" s="32"/>
      <c r="E40" s="32"/>
      <c r="F40" s="31"/>
      <c r="G40" s="33"/>
      <c r="H40" s="34"/>
      <c r="I40" s="26"/>
      <c r="J40" s="32"/>
    </row>
    <row r="41" customFormat="false" ht="15" hidden="false" customHeight="false" outlineLevel="0" collapsed="false">
      <c r="A41" s="31"/>
      <c r="B41" s="31"/>
      <c r="C41" s="26"/>
      <c r="D41" s="32"/>
      <c r="E41" s="32"/>
      <c r="F41" s="31"/>
      <c r="G41" s="33"/>
      <c r="H41" s="34"/>
      <c r="I41" s="26"/>
      <c r="J41" s="32"/>
    </row>
    <row r="42" customFormat="false" ht="15" hidden="false" customHeight="false" outlineLevel="0" collapsed="false">
      <c r="A42" s="31"/>
      <c r="B42" s="31"/>
      <c r="C42" s="26"/>
      <c r="D42" s="32"/>
      <c r="E42" s="32"/>
      <c r="F42" s="31"/>
      <c r="G42" s="33"/>
      <c r="H42" s="34"/>
      <c r="I42" s="26"/>
      <c r="J42" s="32"/>
    </row>
    <row r="43" customFormat="false" ht="15" hidden="false" customHeight="false" outlineLevel="0" collapsed="false">
      <c r="A43" s="31"/>
      <c r="B43" s="31"/>
      <c r="C43" s="26"/>
      <c r="D43" s="32"/>
      <c r="E43" s="32"/>
      <c r="F43" s="31"/>
      <c r="G43" s="33"/>
      <c r="H43" s="34"/>
      <c r="I43" s="26"/>
      <c r="J43" s="32"/>
    </row>
    <row r="44" customFormat="false" ht="15" hidden="false" customHeight="false" outlineLevel="0" collapsed="false">
      <c r="A44" s="31"/>
      <c r="B44" s="31"/>
      <c r="C44" s="26"/>
      <c r="D44" s="32"/>
      <c r="E44" s="32"/>
      <c r="F44" s="31"/>
      <c r="G44" s="33"/>
      <c r="H44" s="34"/>
      <c r="I44" s="26"/>
      <c r="J44" s="32"/>
    </row>
    <row r="45" customFormat="false" ht="15" hidden="false" customHeight="false" outlineLevel="0" collapsed="false">
      <c r="A45" s="31"/>
      <c r="B45" s="31"/>
      <c r="C45" s="26"/>
      <c r="D45" s="32"/>
      <c r="E45" s="32"/>
      <c r="F45" s="31"/>
      <c r="G45" s="33"/>
      <c r="H45" s="34"/>
      <c r="I45" s="26"/>
      <c r="J45" s="32"/>
    </row>
    <row r="46" customFormat="false" ht="15" hidden="false" customHeight="false" outlineLevel="0" collapsed="false">
      <c r="A46" s="31"/>
      <c r="B46" s="31"/>
      <c r="C46" s="26"/>
      <c r="D46" s="32"/>
      <c r="E46" s="32"/>
      <c r="F46" s="31"/>
      <c r="G46" s="33"/>
      <c r="H46" s="34"/>
      <c r="I46" s="26"/>
      <c r="J46" s="32"/>
    </row>
    <row r="47" customFormat="false" ht="15" hidden="false" customHeight="false" outlineLevel="0" collapsed="false">
      <c r="A47" s="31"/>
      <c r="B47" s="31"/>
      <c r="C47" s="26"/>
      <c r="D47" s="32"/>
      <c r="E47" s="32"/>
      <c r="F47" s="31"/>
      <c r="G47" s="33"/>
      <c r="H47" s="34"/>
      <c r="I47" s="26"/>
      <c r="J47" s="32"/>
    </row>
    <row r="48" customFormat="false" ht="15" hidden="false" customHeight="false" outlineLevel="0" collapsed="false">
      <c r="A48" s="31"/>
      <c r="B48" s="31"/>
      <c r="C48" s="26"/>
      <c r="D48" s="32"/>
      <c r="E48" s="32"/>
      <c r="F48" s="31"/>
      <c r="G48" s="33"/>
      <c r="H48" s="34"/>
      <c r="I48" s="26"/>
      <c r="J48" s="32"/>
    </row>
    <row r="49" customFormat="false" ht="15" hidden="false" customHeight="false" outlineLevel="0" collapsed="false">
      <c r="A49" s="31"/>
      <c r="B49" s="31"/>
      <c r="C49" s="26"/>
      <c r="D49" s="32"/>
      <c r="E49" s="32"/>
      <c r="F49" s="31"/>
      <c r="G49" s="33"/>
      <c r="H49" s="34"/>
      <c r="I49" s="26"/>
      <c r="J49" s="32"/>
    </row>
    <row r="50" customFormat="false" ht="15" hidden="false" customHeight="false" outlineLevel="0" collapsed="false">
      <c r="A50" s="31"/>
      <c r="B50" s="31"/>
      <c r="C50" s="26"/>
      <c r="D50" s="32"/>
      <c r="E50" s="32"/>
      <c r="F50" s="31"/>
      <c r="G50" s="33"/>
      <c r="H50" s="34"/>
      <c r="I50" s="26"/>
      <c r="J50" s="32"/>
    </row>
    <row r="51" customFormat="false" ht="15" hidden="false" customHeight="false" outlineLevel="0" collapsed="false">
      <c r="A51" s="31"/>
      <c r="B51" s="31"/>
      <c r="C51" s="26"/>
      <c r="D51" s="32"/>
      <c r="E51" s="32"/>
      <c r="F51" s="31"/>
      <c r="G51" s="33"/>
      <c r="H51" s="34"/>
      <c r="I51" s="26"/>
      <c r="J51" s="32"/>
    </row>
    <row r="53" customFormat="false" ht="15" hidden="false" customHeight="true" outlineLevel="0" collapsed="false">
      <c r="A53" s="2" t="s">
        <v>23</v>
      </c>
      <c r="B53" s="2"/>
      <c r="C53" s="2"/>
      <c r="D53" s="2"/>
    </row>
    <row r="54" customFormat="false" ht="15" hidden="false" customHeight="false" outlineLevel="0" collapsed="false">
      <c r="A54" s="10" t="s">
        <v>264</v>
      </c>
      <c r="B54" s="10" t="s">
        <v>214</v>
      </c>
      <c r="C54" s="10" t="s">
        <v>269</v>
      </c>
      <c r="D54" s="10" t="s">
        <v>270</v>
      </c>
    </row>
    <row r="55" customFormat="false" ht="15" hidden="false" customHeight="false" outlineLevel="0" collapsed="false">
      <c r="A55" s="3" t="s">
        <v>271</v>
      </c>
      <c r="B55" s="11" t="n">
        <f aca="false">COUNTIF(F2:F51,A55)</f>
        <v>0</v>
      </c>
      <c r="C55" s="21" t="n">
        <f aca="false">SUMIF(F2:F51,A55,G2:G51)</f>
        <v>0</v>
      </c>
      <c r="D55" s="21" t="n">
        <f aca="false">SUMPRODUCT((F2:F51=A55)*G2:G51*H2:H51)</f>
        <v>0</v>
      </c>
    </row>
    <row r="56" customFormat="false" ht="15" hidden="false" customHeight="false" outlineLevel="0" collapsed="false">
      <c r="A56" s="3" t="s">
        <v>272</v>
      </c>
      <c r="B56" s="11" t="n">
        <f aca="false">COUNTIF(F2:F51,A56)</f>
        <v>0</v>
      </c>
      <c r="C56" s="21" t="n">
        <f aca="false">SUMIF(F2:F51,A56,G2:G51)</f>
        <v>0</v>
      </c>
      <c r="D56" s="21" t="n">
        <f aca="false">SUMPRODUCT((F2:F51=A56)*G2:G51*H2:H51)</f>
        <v>0</v>
      </c>
    </row>
    <row r="57" customFormat="false" ht="15" hidden="false" customHeight="false" outlineLevel="0" collapsed="false">
      <c r="A57" s="3" t="s">
        <v>273</v>
      </c>
      <c r="B57" s="11" t="n">
        <f aca="false">COUNTIF(F2:F51,A57)</f>
        <v>0</v>
      </c>
      <c r="C57" s="21" t="n">
        <f aca="false">SUMIF(F2:F51,A57,G2:G51)</f>
        <v>0</v>
      </c>
      <c r="D57" s="21" t="n">
        <f aca="false">SUMPRODUCT((F2:F51=A57)*G2:G51*H2:H51)</f>
        <v>0</v>
      </c>
    </row>
    <row r="58" customFormat="false" ht="15" hidden="false" customHeight="false" outlineLevel="0" collapsed="false">
      <c r="A58" s="3" t="s">
        <v>274</v>
      </c>
      <c r="B58" s="11" t="n">
        <f aca="false">COUNTIF(F2:F51,A58)</f>
        <v>0</v>
      </c>
      <c r="C58" s="21" t="n">
        <f aca="false">SUMIF(F2:F51,A58,G2:G51)</f>
        <v>0</v>
      </c>
      <c r="D58" s="21" t="n">
        <f aca="false">SUMPRODUCT((F2:F51=A58)*G2:G51*H2:H51)</f>
        <v>0</v>
      </c>
    </row>
    <row r="59" customFormat="false" ht="15" hidden="false" customHeight="false" outlineLevel="0" collapsed="false">
      <c r="A59" s="3" t="s">
        <v>275</v>
      </c>
      <c r="B59" s="11" t="n">
        <f aca="false">COUNTIF(F2:F51,A59)</f>
        <v>0</v>
      </c>
      <c r="C59" s="21" t="n">
        <f aca="false">SUMIF(F2:F51,A59,G2:G51)</f>
        <v>0</v>
      </c>
      <c r="D59" s="21" t="n">
        <f aca="false">SUMPRODUCT((F2:F51=A59)*G2:G51*H2:H51)</f>
        <v>0</v>
      </c>
    </row>
    <row r="60" customFormat="false" ht="15" hidden="false" customHeight="false" outlineLevel="0" collapsed="false">
      <c r="A60" s="3" t="s">
        <v>31</v>
      </c>
      <c r="B60" s="11" t="n">
        <f aca="false">COUNTIF(F2:F51,A60)</f>
        <v>0</v>
      </c>
      <c r="C60" s="21" t="n">
        <f aca="false">SUMIF(F2:F51,A60,G2:G51)</f>
        <v>0</v>
      </c>
      <c r="D60" s="21" t="n">
        <f aca="false">SUMPRODUCT((F2:F51=A60)*G2:G51*H2:H51)</f>
        <v>0</v>
      </c>
    </row>
    <row r="61" customFormat="false" ht="15" hidden="false" customHeight="false" outlineLevel="0" collapsed="false">
      <c r="A61" s="3" t="s">
        <v>276</v>
      </c>
      <c r="B61" s="11" t="n">
        <f aca="false">COUNTIF(F2:F51,A61)</f>
        <v>0</v>
      </c>
      <c r="C61" s="21" t="n">
        <f aca="false">SUMIF(F2:F51,A61,G2:G51)</f>
        <v>0</v>
      </c>
      <c r="D61" s="21" t="n">
        <f aca="false">SUMPRODUCT((F2:F51=A61)*G2:G51*H2:H51)</f>
        <v>0</v>
      </c>
    </row>
    <row r="62" customFormat="false" ht="15" hidden="false" customHeight="false" outlineLevel="0" collapsed="false">
      <c r="A62" s="2" t="s">
        <v>277</v>
      </c>
      <c r="C62" s="21" t="n">
        <f aca="false">SUM(C55:C61)</f>
        <v>0</v>
      </c>
      <c r="D62" s="21" t="n">
        <f aca="false">SUM(D55:D61)</f>
        <v>0</v>
      </c>
    </row>
    <row r="64" customFormat="false" ht="26.85" hidden="false" customHeight="false" outlineLevel="0" collapsed="false">
      <c r="A64" s="2" t="s">
        <v>278</v>
      </c>
    </row>
    <row r="65" customFormat="false" ht="15" hidden="false" customHeight="false" outlineLevel="0" collapsed="false">
      <c r="A65" s="3" t="s">
        <v>279</v>
      </c>
      <c r="B65" s="18" t="str">
        <f aca="false">IFERROR((B57+B58+B59+B60+B61)/(B55+B56+B57+B58+B59+B60+B61),"-")</f>
        <v>-</v>
      </c>
    </row>
    <row r="66" customFormat="false" ht="15" hidden="false" customHeight="false" outlineLevel="0" collapsed="false">
      <c r="A66" s="3" t="s">
        <v>280</v>
      </c>
      <c r="B66" s="18" t="str">
        <f aca="false">IFERROR((B58+B59+B60+B61)/(B57+B58+B59+B60+B61),"-")</f>
        <v>-</v>
      </c>
    </row>
    <row r="67" customFormat="false" ht="15" hidden="false" customHeight="false" outlineLevel="0" collapsed="false">
      <c r="A67" s="3" t="s">
        <v>281</v>
      </c>
      <c r="B67" s="18" t="str">
        <f aca="false">IFERROR(B60/(B58+B59+B60+B61),"-")</f>
        <v>-</v>
      </c>
    </row>
    <row r="68" customFormat="false" ht="15" hidden="false" customHeight="false" outlineLevel="0" collapsed="false">
      <c r="A68" s="3" t="s">
        <v>282</v>
      </c>
      <c r="B68" s="18" t="str">
        <f aca="false">IFERROR(B60/(B60+B61),"-")</f>
        <v>-</v>
      </c>
    </row>
  </sheetData>
  <mergeCells count="1">
    <mergeCell ref="A53:D53"/>
  </mergeCells>
  <dataValidations count="2">
    <dataValidation allowBlank="true" errorStyle="stop" operator="between" showDropDown="false" showErrorMessage="false" showInputMessage="false" sqref="F2:F51" type="list">
      <formula1>"Lead,Outreach,Discovery,Proposal,Negotiation,Won,Lost"</formula1>
      <formula2>0</formula2>
    </dataValidation>
    <dataValidation allowBlank="true" errorStyle="stop" operator="between" showDropDown="false" showErrorMessage="false" showInputMessage="false" sqref="C2:C51" type="list">
      <formula1>"LinkedIn,Cold Email,Referral,Expert Network,Upwork,Inbound,Event"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4"/>
  </cols>
  <sheetData>
    <row r="1" customFormat="false" ht="17.35" hidden="false" customHeight="true" outlineLevel="0" collapsed="false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0"/>
      <c r="B3" s="10" t="s">
        <v>284</v>
      </c>
      <c r="C3" s="10" t="s">
        <v>285</v>
      </c>
      <c r="D3" s="10" t="s">
        <v>286</v>
      </c>
      <c r="E3" s="10" t="s">
        <v>287</v>
      </c>
      <c r="F3" s="10" t="s">
        <v>288</v>
      </c>
      <c r="G3" s="10" t="s">
        <v>289</v>
      </c>
      <c r="H3" s="10" t="s">
        <v>290</v>
      </c>
      <c r="I3" s="10" t="s">
        <v>291</v>
      </c>
      <c r="J3" s="10" t="s">
        <v>292</v>
      </c>
      <c r="K3" s="10" t="s">
        <v>293</v>
      </c>
      <c r="L3" s="10" t="s">
        <v>294</v>
      </c>
      <c r="M3" s="10" t="s">
        <v>295</v>
      </c>
      <c r="N3" s="10" t="s">
        <v>296</v>
      </c>
    </row>
    <row r="4" customFormat="false" ht="15" hidden="false" customHeight="false" outlineLevel="0" collapsed="false">
      <c r="A4" s="2" t="s">
        <v>297</v>
      </c>
    </row>
    <row r="5" customFormat="false" ht="15" hidden="false" customHeight="false" outlineLevel="0" collapsed="false">
      <c r="A5" s="3" t="s">
        <v>298</v>
      </c>
      <c r="B5" s="29" t="n">
        <v>2000</v>
      </c>
      <c r="C5" s="29" t="n">
        <v>4000</v>
      </c>
      <c r="D5" s="29" t="n">
        <v>5500</v>
      </c>
      <c r="E5" s="29" t="n">
        <v>6000</v>
      </c>
      <c r="F5" s="29" t="n">
        <v>7000</v>
      </c>
      <c r="G5" s="29" t="n">
        <v>8000</v>
      </c>
      <c r="H5" s="29" t="n">
        <v>8000</v>
      </c>
      <c r="I5" s="29" t="n">
        <v>9000</v>
      </c>
      <c r="J5" s="29" t="n">
        <v>9000</v>
      </c>
      <c r="K5" s="29" t="n">
        <v>10000</v>
      </c>
      <c r="L5" s="29" t="n">
        <v>10000</v>
      </c>
      <c r="M5" s="29" t="n">
        <v>10000</v>
      </c>
      <c r="N5" s="21" t="n">
        <f aca="false">SUM(B5:M5)</f>
        <v>88500</v>
      </c>
    </row>
    <row r="6" customFormat="false" ht="15" hidden="false" customHeight="false" outlineLevel="0" collapsed="false">
      <c r="A6" s="3" t="s">
        <v>299</v>
      </c>
      <c r="B6" s="29" t="n">
        <v>0</v>
      </c>
      <c r="C6" s="29" t="n">
        <v>0</v>
      </c>
      <c r="D6" s="29" t="n">
        <v>2000</v>
      </c>
      <c r="E6" s="29" t="n">
        <v>2500</v>
      </c>
      <c r="F6" s="29" t="n">
        <v>3000</v>
      </c>
      <c r="G6" s="29" t="n">
        <v>3500</v>
      </c>
      <c r="H6" s="29" t="n">
        <v>4000</v>
      </c>
      <c r="I6" s="29" t="n">
        <v>4500</v>
      </c>
      <c r="J6" s="29" t="n">
        <v>5000</v>
      </c>
      <c r="K6" s="29" t="n">
        <v>5500</v>
      </c>
      <c r="L6" s="29" t="n">
        <v>6000</v>
      </c>
      <c r="M6" s="29" t="n">
        <v>6500</v>
      </c>
      <c r="N6" s="21" t="n">
        <f aca="false">SUM(B6:M6)</f>
        <v>42500</v>
      </c>
    </row>
    <row r="7" customFormat="false" ht="15" hidden="false" customHeight="false" outlineLevel="0" collapsed="false">
      <c r="A7" s="3" t="s">
        <v>300</v>
      </c>
      <c r="B7" s="29" t="n">
        <v>0</v>
      </c>
      <c r="C7" s="29" t="n">
        <v>500</v>
      </c>
      <c r="D7" s="29" t="n">
        <v>750</v>
      </c>
      <c r="E7" s="29" t="n">
        <v>800</v>
      </c>
      <c r="F7" s="29" t="n">
        <v>800</v>
      </c>
      <c r="G7" s="29" t="n">
        <v>800</v>
      </c>
      <c r="H7" s="29" t="n">
        <v>1000</v>
      </c>
      <c r="I7" s="29" t="n">
        <v>1000</v>
      </c>
      <c r="J7" s="29" t="n">
        <v>1000</v>
      </c>
      <c r="K7" s="29" t="n">
        <v>1000</v>
      </c>
      <c r="L7" s="29" t="n">
        <v>1000</v>
      </c>
      <c r="M7" s="29" t="n">
        <v>1000</v>
      </c>
      <c r="N7" s="21" t="n">
        <f aca="false">SUM(B7:M7)</f>
        <v>9650</v>
      </c>
    </row>
    <row r="8" customFormat="false" ht="15" hidden="false" customHeight="false" outlineLevel="0" collapsed="false">
      <c r="A8" s="3" t="s">
        <v>301</v>
      </c>
      <c r="B8" s="29" t="n">
        <v>0</v>
      </c>
      <c r="C8" s="29" t="n">
        <v>250</v>
      </c>
      <c r="D8" s="29" t="n">
        <v>400</v>
      </c>
      <c r="E8" s="29" t="n">
        <v>300</v>
      </c>
      <c r="F8" s="29" t="n">
        <v>200</v>
      </c>
      <c r="G8" s="29" t="n">
        <v>100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1" t="n">
        <f aca="false">SUM(B8:M8)</f>
        <v>1250</v>
      </c>
    </row>
    <row r="9" customFormat="false" ht="15" hidden="false" customHeight="false" outlineLevel="0" collapsed="false">
      <c r="A9" s="35" t="s">
        <v>302</v>
      </c>
      <c r="B9" s="36" t="n">
        <f aca="false">SUM(B5:B8)</f>
        <v>2000</v>
      </c>
      <c r="C9" s="36" t="n">
        <f aca="false">SUM(C5:C8)</f>
        <v>4750</v>
      </c>
      <c r="D9" s="36" t="n">
        <f aca="false">SUM(D5:D8)</f>
        <v>8650</v>
      </c>
      <c r="E9" s="36" t="n">
        <f aca="false">SUM(E5:E8)</f>
        <v>9600</v>
      </c>
      <c r="F9" s="36" t="n">
        <f aca="false">SUM(F5:F8)</f>
        <v>11000</v>
      </c>
      <c r="G9" s="36" t="n">
        <f aca="false">SUM(G5:G8)</f>
        <v>12400</v>
      </c>
      <c r="H9" s="36" t="n">
        <f aca="false">SUM(H5:H8)</f>
        <v>13000</v>
      </c>
      <c r="I9" s="36" t="n">
        <f aca="false">SUM(I5:I8)</f>
        <v>14500</v>
      </c>
      <c r="J9" s="36" t="n">
        <f aca="false">SUM(J5:J8)</f>
        <v>15000</v>
      </c>
      <c r="K9" s="36" t="n">
        <f aca="false">SUM(K5:K8)</f>
        <v>16500</v>
      </c>
      <c r="L9" s="36" t="n">
        <f aca="false">SUM(L5:L8)</f>
        <v>17000</v>
      </c>
      <c r="M9" s="36" t="n">
        <f aca="false">SUM(M5:M8)</f>
        <v>17500</v>
      </c>
      <c r="N9" s="36" t="n">
        <f aca="false">SUM(B9:M9)</f>
        <v>141900</v>
      </c>
    </row>
    <row r="11" customFormat="false" ht="15" hidden="false" customHeight="false" outlineLevel="0" collapsed="false">
      <c r="A11" s="2" t="s">
        <v>303</v>
      </c>
    </row>
    <row r="12" customFormat="false" ht="23.85" hidden="false" customHeight="false" outlineLevel="0" collapsed="false">
      <c r="A12" s="3" t="s">
        <v>304</v>
      </c>
      <c r="B12" s="29" t="n">
        <v>50</v>
      </c>
      <c r="C12" s="29" t="n">
        <v>100</v>
      </c>
      <c r="D12" s="29" t="n">
        <v>150</v>
      </c>
      <c r="E12" s="29" t="n">
        <v>200</v>
      </c>
      <c r="F12" s="29" t="n">
        <v>250</v>
      </c>
      <c r="G12" s="29" t="n">
        <v>300</v>
      </c>
      <c r="H12" s="29" t="n">
        <v>350</v>
      </c>
      <c r="I12" s="29" t="n">
        <v>400</v>
      </c>
      <c r="J12" s="29" t="n">
        <v>400</v>
      </c>
      <c r="K12" s="29" t="n">
        <v>400</v>
      </c>
      <c r="L12" s="29" t="n">
        <v>400</v>
      </c>
      <c r="M12" s="29" t="n">
        <v>400</v>
      </c>
      <c r="N12" s="21" t="n">
        <f aca="false">SUM(B12:M12)</f>
        <v>3400</v>
      </c>
    </row>
    <row r="13" customFormat="false" ht="15" hidden="false" customHeight="false" outlineLevel="0" collapsed="false">
      <c r="A13" s="3" t="s">
        <v>305</v>
      </c>
      <c r="B13" s="29" t="n">
        <v>110</v>
      </c>
      <c r="C13" s="29" t="n">
        <v>110</v>
      </c>
      <c r="D13" s="29" t="n">
        <v>110</v>
      </c>
      <c r="E13" s="29" t="n">
        <v>110</v>
      </c>
      <c r="F13" s="29" t="n">
        <v>110</v>
      </c>
      <c r="G13" s="29" t="n">
        <v>110</v>
      </c>
      <c r="H13" s="29" t="n">
        <v>110</v>
      </c>
      <c r="I13" s="29" t="n">
        <v>110</v>
      </c>
      <c r="J13" s="29" t="n">
        <v>110</v>
      </c>
      <c r="K13" s="29" t="n">
        <v>110</v>
      </c>
      <c r="L13" s="29" t="n">
        <v>110</v>
      </c>
      <c r="M13" s="29" t="n">
        <v>110</v>
      </c>
      <c r="N13" s="21" t="n">
        <f aca="false">SUM(B13:M13)</f>
        <v>1320</v>
      </c>
    </row>
    <row r="14" customFormat="false" ht="15" hidden="false" customHeight="false" outlineLevel="0" collapsed="false">
      <c r="A14" s="3" t="s">
        <v>306</v>
      </c>
      <c r="B14" s="29" t="n">
        <v>0</v>
      </c>
      <c r="C14" s="29" t="n">
        <v>30</v>
      </c>
      <c r="D14" s="29" t="n">
        <v>60</v>
      </c>
      <c r="E14" s="29" t="n">
        <v>60</v>
      </c>
      <c r="F14" s="29" t="n">
        <v>60</v>
      </c>
      <c r="G14" s="29" t="n">
        <v>60</v>
      </c>
      <c r="H14" s="29" t="n">
        <v>60</v>
      </c>
      <c r="I14" s="29" t="n">
        <v>60</v>
      </c>
      <c r="J14" s="29" t="n">
        <v>60</v>
      </c>
      <c r="K14" s="29" t="n">
        <v>60</v>
      </c>
      <c r="L14" s="29" t="n">
        <v>60</v>
      </c>
      <c r="M14" s="29" t="n">
        <v>60</v>
      </c>
      <c r="N14" s="21" t="n">
        <f aca="false">SUM(B14:M14)</f>
        <v>630</v>
      </c>
    </row>
    <row r="15" customFormat="false" ht="15" hidden="false" customHeight="false" outlineLevel="0" collapsed="false">
      <c r="A15" s="3" t="s">
        <v>307</v>
      </c>
      <c r="B15" s="29" t="n">
        <v>10</v>
      </c>
      <c r="C15" s="29" t="n">
        <v>25</v>
      </c>
      <c r="D15" s="29" t="n">
        <v>50</v>
      </c>
      <c r="E15" s="29" t="n">
        <v>60</v>
      </c>
      <c r="F15" s="29" t="n">
        <v>70</v>
      </c>
      <c r="G15" s="29" t="n">
        <v>80</v>
      </c>
      <c r="H15" s="29" t="n">
        <v>80</v>
      </c>
      <c r="I15" s="29" t="n">
        <v>90</v>
      </c>
      <c r="J15" s="29" t="n">
        <v>90</v>
      </c>
      <c r="K15" s="29" t="n">
        <v>100</v>
      </c>
      <c r="L15" s="29" t="n">
        <v>100</v>
      </c>
      <c r="M15" s="29" t="n">
        <v>100</v>
      </c>
      <c r="N15" s="21" t="n">
        <f aca="false">SUM(B15:M15)</f>
        <v>855</v>
      </c>
    </row>
    <row r="16" customFormat="false" ht="15" hidden="false" customHeight="false" outlineLevel="0" collapsed="false">
      <c r="A16" s="3" t="s">
        <v>308</v>
      </c>
      <c r="B16" s="29" t="n">
        <v>510</v>
      </c>
      <c r="C16" s="29" t="n">
        <v>10</v>
      </c>
      <c r="D16" s="29" t="n">
        <v>10</v>
      </c>
      <c r="E16" s="29" t="n">
        <v>10</v>
      </c>
      <c r="F16" s="29" t="n">
        <v>10</v>
      </c>
      <c r="G16" s="29" t="n">
        <v>10</v>
      </c>
      <c r="H16" s="29" t="n">
        <v>10</v>
      </c>
      <c r="I16" s="29" t="n">
        <v>10</v>
      </c>
      <c r="J16" s="29" t="n">
        <v>10</v>
      </c>
      <c r="K16" s="29" t="n">
        <v>10</v>
      </c>
      <c r="L16" s="29" t="n">
        <v>10</v>
      </c>
      <c r="M16" s="29" t="n">
        <v>10</v>
      </c>
      <c r="N16" s="21" t="n">
        <f aca="false">SUM(B16:M16)</f>
        <v>620</v>
      </c>
    </row>
    <row r="17" customFormat="false" ht="15" hidden="false" customHeight="false" outlineLevel="0" collapsed="false">
      <c r="A17" s="3" t="s">
        <v>309</v>
      </c>
      <c r="B17" s="29" t="n">
        <v>0</v>
      </c>
      <c r="C17" s="29" t="n">
        <v>0</v>
      </c>
      <c r="D17" s="29" t="n">
        <v>100</v>
      </c>
      <c r="E17" s="29" t="n">
        <v>0</v>
      </c>
      <c r="F17" s="29" t="n">
        <v>0</v>
      </c>
      <c r="G17" s="29" t="n">
        <v>100</v>
      </c>
      <c r="H17" s="29" t="n">
        <v>0</v>
      </c>
      <c r="I17" s="29" t="n">
        <v>0</v>
      </c>
      <c r="J17" s="29" t="n">
        <v>100</v>
      </c>
      <c r="K17" s="29" t="n">
        <v>0</v>
      </c>
      <c r="L17" s="29" t="n">
        <v>0</v>
      </c>
      <c r="M17" s="29" t="n">
        <v>300</v>
      </c>
      <c r="N17" s="21" t="n">
        <f aca="false">SUM(B17:M17)</f>
        <v>600</v>
      </c>
    </row>
    <row r="18" customFormat="false" ht="15" hidden="false" customHeight="false" outlineLevel="0" collapsed="false">
      <c r="A18" s="3" t="s">
        <v>310</v>
      </c>
      <c r="B18" s="29" t="n">
        <v>200</v>
      </c>
      <c r="C18" s="29" t="n">
        <v>200</v>
      </c>
      <c r="D18" s="29" t="n">
        <v>200</v>
      </c>
      <c r="E18" s="29" t="n">
        <v>200</v>
      </c>
      <c r="F18" s="29" t="n">
        <v>200</v>
      </c>
      <c r="G18" s="29" t="n">
        <v>200</v>
      </c>
      <c r="H18" s="29" t="n">
        <v>200</v>
      </c>
      <c r="I18" s="29" t="n">
        <v>200</v>
      </c>
      <c r="J18" s="29" t="n">
        <v>200</v>
      </c>
      <c r="K18" s="29" t="n">
        <v>200</v>
      </c>
      <c r="L18" s="29" t="n">
        <v>200</v>
      </c>
      <c r="M18" s="29" t="n">
        <v>200</v>
      </c>
      <c r="N18" s="21" t="n">
        <f aca="false">SUM(B18:M18)</f>
        <v>2400</v>
      </c>
    </row>
    <row r="19" customFormat="false" ht="15" hidden="false" customHeight="false" outlineLevel="0" collapsed="false">
      <c r="A19" s="3" t="s">
        <v>311</v>
      </c>
      <c r="B19" s="29" t="n">
        <v>40</v>
      </c>
      <c r="C19" s="29" t="n">
        <v>40</v>
      </c>
      <c r="D19" s="29" t="n">
        <v>40</v>
      </c>
      <c r="E19" s="29" t="n">
        <v>40</v>
      </c>
      <c r="F19" s="29" t="n">
        <v>40</v>
      </c>
      <c r="G19" s="29" t="n">
        <v>40</v>
      </c>
      <c r="H19" s="29" t="n">
        <v>40</v>
      </c>
      <c r="I19" s="29" t="n">
        <v>40</v>
      </c>
      <c r="J19" s="29" t="n">
        <v>40</v>
      </c>
      <c r="K19" s="29" t="n">
        <v>40</v>
      </c>
      <c r="L19" s="29" t="n">
        <v>40</v>
      </c>
      <c r="M19" s="29" t="n">
        <v>40</v>
      </c>
      <c r="N19" s="21" t="n">
        <f aca="false">SUM(B19:M19)</f>
        <v>480</v>
      </c>
    </row>
    <row r="20" customFormat="false" ht="15" hidden="false" customHeight="false" outlineLevel="0" collapsed="false">
      <c r="A20" s="3" t="s">
        <v>312</v>
      </c>
      <c r="B20" s="29" t="n">
        <v>0</v>
      </c>
      <c r="C20" s="29" t="n">
        <v>0</v>
      </c>
      <c r="D20" s="29" t="n">
        <v>0</v>
      </c>
      <c r="E20" s="29" t="n">
        <v>600</v>
      </c>
      <c r="F20" s="29" t="n">
        <v>600</v>
      </c>
      <c r="G20" s="29" t="n">
        <v>600</v>
      </c>
      <c r="H20" s="29" t="n">
        <v>600</v>
      </c>
      <c r="I20" s="29" t="n">
        <v>600</v>
      </c>
      <c r="J20" s="29" t="n">
        <v>600</v>
      </c>
      <c r="K20" s="29" t="n">
        <v>600</v>
      </c>
      <c r="L20" s="29" t="n">
        <v>600</v>
      </c>
      <c r="M20" s="29" t="n">
        <v>600</v>
      </c>
      <c r="N20" s="21" t="n">
        <f aca="false">SUM(B20:M20)</f>
        <v>5400</v>
      </c>
    </row>
    <row r="21" customFormat="false" ht="15" hidden="false" customHeight="false" outlineLevel="0" collapsed="false">
      <c r="A21" s="37" t="s">
        <v>313</v>
      </c>
      <c r="B21" s="38" t="n">
        <f aca="false">SUM(B12:B20)</f>
        <v>920</v>
      </c>
      <c r="C21" s="38" t="n">
        <f aca="false">SUM(C12:C20)</f>
        <v>515</v>
      </c>
      <c r="D21" s="38" t="n">
        <f aca="false">SUM(D12:D20)</f>
        <v>720</v>
      </c>
      <c r="E21" s="38" t="n">
        <f aca="false">SUM(E12:E20)</f>
        <v>1280</v>
      </c>
      <c r="F21" s="38" t="n">
        <f aca="false">SUM(F12:F20)</f>
        <v>1340</v>
      </c>
      <c r="G21" s="38" t="n">
        <f aca="false">SUM(G12:G20)</f>
        <v>1500</v>
      </c>
      <c r="H21" s="38" t="n">
        <f aca="false">SUM(H12:H20)</f>
        <v>1450</v>
      </c>
      <c r="I21" s="38" t="n">
        <f aca="false">SUM(I12:I20)</f>
        <v>1510</v>
      </c>
      <c r="J21" s="38" t="n">
        <f aca="false">SUM(J12:J20)</f>
        <v>1610</v>
      </c>
      <c r="K21" s="38" t="n">
        <f aca="false">SUM(K12:K20)</f>
        <v>1520</v>
      </c>
      <c r="L21" s="38" t="n">
        <f aca="false">SUM(L12:L20)</f>
        <v>1520</v>
      </c>
      <c r="M21" s="38" t="n">
        <f aca="false">SUM(M12:M20)</f>
        <v>1820</v>
      </c>
      <c r="N21" s="38" t="n">
        <f aca="false">SUM(B21:M21)</f>
        <v>15705</v>
      </c>
    </row>
    <row r="23" customFormat="false" ht="15" hidden="false" customHeight="false" outlineLevel="0" collapsed="false">
      <c r="A23" s="2" t="s">
        <v>314</v>
      </c>
      <c r="B23" s="21" t="n">
        <f aca="false">B9-B21</f>
        <v>1080</v>
      </c>
      <c r="C23" s="21" t="n">
        <f aca="false">C9-C21</f>
        <v>4235</v>
      </c>
      <c r="D23" s="21" t="n">
        <f aca="false">D9-D21</f>
        <v>7930</v>
      </c>
      <c r="E23" s="21" t="n">
        <f aca="false">E9-E21</f>
        <v>8320</v>
      </c>
      <c r="F23" s="21" t="n">
        <f aca="false">F9-F21</f>
        <v>9660</v>
      </c>
      <c r="G23" s="21" t="n">
        <f aca="false">G9-G21</f>
        <v>10900</v>
      </c>
      <c r="H23" s="21" t="n">
        <f aca="false">H9-H21</f>
        <v>11550</v>
      </c>
      <c r="I23" s="21" t="n">
        <f aca="false">I9-I21</f>
        <v>12990</v>
      </c>
      <c r="J23" s="21" t="n">
        <f aca="false">J9-J21</f>
        <v>13390</v>
      </c>
      <c r="K23" s="21" t="n">
        <f aca="false">K9-K21</f>
        <v>14980</v>
      </c>
      <c r="L23" s="21" t="n">
        <f aca="false">L9-L21</f>
        <v>15480</v>
      </c>
      <c r="M23" s="21" t="n">
        <f aca="false">M9-M21</f>
        <v>15680</v>
      </c>
      <c r="N23" s="21" t="n">
        <f aca="false">SUM(B23:M23)</f>
        <v>126195</v>
      </c>
    </row>
    <row r="24" customFormat="false" ht="15" hidden="false" customHeight="false" outlineLevel="0" collapsed="false">
      <c r="A24" s="3" t="s">
        <v>315</v>
      </c>
      <c r="B24" s="18" t="n">
        <f aca="false">IFERROR(B23/B9,"-")</f>
        <v>0.54</v>
      </c>
      <c r="C24" s="18" t="n">
        <f aca="false">IFERROR(C23/C9,"-")</f>
        <v>0.891578947368421</v>
      </c>
      <c r="D24" s="18" t="n">
        <f aca="false">IFERROR(D23/D9,"-")</f>
        <v>0.916763005780347</v>
      </c>
      <c r="E24" s="18" t="n">
        <f aca="false">IFERROR(E23/E9,"-")</f>
        <v>0.866666666666667</v>
      </c>
      <c r="F24" s="18" t="n">
        <f aca="false">IFERROR(F23/F9,"-")</f>
        <v>0.878181818181818</v>
      </c>
      <c r="G24" s="18" t="n">
        <f aca="false">IFERROR(G23/G9,"-")</f>
        <v>0.879032258064516</v>
      </c>
      <c r="H24" s="18" t="n">
        <f aca="false">IFERROR(H23/H9,"-")</f>
        <v>0.888461538461538</v>
      </c>
      <c r="I24" s="18" t="n">
        <f aca="false">IFERROR(I23/I9,"-")</f>
        <v>0.895862068965517</v>
      </c>
      <c r="J24" s="18" t="n">
        <f aca="false">IFERROR(J23/J9,"-")</f>
        <v>0.892666666666667</v>
      </c>
      <c r="K24" s="18" t="n">
        <f aca="false">IFERROR(K23/K9,"-")</f>
        <v>0.907878787878788</v>
      </c>
      <c r="L24" s="18" t="n">
        <f aca="false">IFERROR(L23/L9,"-")</f>
        <v>0.910588235294118</v>
      </c>
      <c r="M24" s="18" t="n">
        <f aca="false">IFERROR(M23/M9,"-")</f>
        <v>0.896</v>
      </c>
      <c r="N24" s="18" t="n">
        <f aca="false">IFERROR(N23/N9,"-")</f>
        <v>0.889323467230444</v>
      </c>
    </row>
    <row r="26" customFormat="false" ht="15" hidden="false" customHeight="false" outlineLevel="0" collapsed="false">
      <c r="A26" s="2" t="s">
        <v>316</v>
      </c>
      <c r="B26" s="21" t="n">
        <f aca="false">B23</f>
        <v>1080</v>
      </c>
      <c r="C26" s="21" t="n">
        <f aca="false">B26+C23</f>
        <v>5315</v>
      </c>
      <c r="D26" s="21" t="n">
        <f aca="false">C26+D23</f>
        <v>13245</v>
      </c>
      <c r="E26" s="21" t="n">
        <f aca="false">D26+E23</f>
        <v>21565</v>
      </c>
      <c r="F26" s="21" t="n">
        <f aca="false">E26+F23</f>
        <v>31225</v>
      </c>
      <c r="G26" s="21" t="n">
        <f aca="false">F26+G23</f>
        <v>42125</v>
      </c>
      <c r="H26" s="21" t="n">
        <f aca="false">G26+H23</f>
        <v>53675</v>
      </c>
      <c r="I26" s="21" t="n">
        <f aca="false">H26+I23</f>
        <v>66665</v>
      </c>
      <c r="J26" s="21" t="n">
        <f aca="false">I26+J23</f>
        <v>80055</v>
      </c>
      <c r="K26" s="21" t="n">
        <f aca="false">J26+K23</f>
        <v>95035</v>
      </c>
      <c r="L26" s="21" t="n">
        <f aca="false">K26+L23</f>
        <v>110515</v>
      </c>
      <c r="M26" s="21" t="n">
        <f aca="false">L26+M23</f>
        <v>126195</v>
      </c>
    </row>
  </sheetData>
  <mergeCells count="1">
    <mergeCell ref="A1:N1"/>
  </mergeCells>
  <conditionalFormatting sqref="B23:M2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7.35" hidden="false" customHeight="true" outlineLevel="0" collapsed="false">
      <c r="A1" s="1" t="s">
        <v>317</v>
      </c>
      <c r="B1" s="1"/>
      <c r="C1" s="1"/>
      <c r="D1" s="1"/>
    </row>
    <row r="3" customFormat="false" ht="15" hidden="false" customHeight="false" outlineLevel="0" collapsed="false">
      <c r="A3" s="10" t="s">
        <v>318</v>
      </c>
      <c r="B3" s="10" t="s">
        <v>269</v>
      </c>
      <c r="C3" s="10" t="s">
        <v>212</v>
      </c>
      <c r="D3" s="10" t="s">
        <v>319</v>
      </c>
    </row>
    <row r="4" customFormat="false" ht="15" hidden="false" customHeight="false" outlineLevel="0" collapsed="false">
      <c r="A4" s="3" t="s">
        <v>320</v>
      </c>
      <c r="B4" s="12" t="s">
        <v>321</v>
      </c>
      <c r="C4" s="15" t="s">
        <v>322</v>
      </c>
      <c r="D4" s="27" t="s">
        <v>323</v>
      </c>
    </row>
    <row r="5" customFormat="false" ht="15" hidden="false" customHeight="false" outlineLevel="0" collapsed="false">
      <c r="A5" s="3" t="s">
        <v>324</v>
      </c>
      <c r="B5" s="12" t="s">
        <v>325</v>
      </c>
      <c r="C5" s="15" t="s">
        <v>322</v>
      </c>
      <c r="D5" s="27" t="s">
        <v>323</v>
      </c>
    </row>
    <row r="6" customFormat="false" ht="15" hidden="false" customHeight="false" outlineLevel="0" collapsed="false">
      <c r="A6" s="3" t="s">
        <v>326</v>
      </c>
      <c r="B6" s="12" t="s">
        <v>327</v>
      </c>
      <c r="C6" s="15" t="s">
        <v>322</v>
      </c>
      <c r="D6" s="27" t="s">
        <v>323</v>
      </c>
    </row>
    <row r="7" customFormat="false" ht="15" hidden="false" customHeight="false" outlineLevel="0" collapsed="false">
      <c r="A7" s="3" t="s">
        <v>328</v>
      </c>
      <c r="B7" s="12" t="s">
        <v>329</v>
      </c>
      <c r="C7" s="15" t="s">
        <v>322</v>
      </c>
      <c r="D7" s="27" t="s">
        <v>323</v>
      </c>
    </row>
    <row r="8" customFormat="false" ht="15" hidden="false" customHeight="false" outlineLevel="0" collapsed="false">
      <c r="A8" s="3" t="s">
        <v>330</v>
      </c>
      <c r="B8" s="12" t="s">
        <v>331</v>
      </c>
      <c r="C8" s="15" t="s">
        <v>322</v>
      </c>
      <c r="D8" s="27" t="s">
        <v>323</v>
      </c>
    </row>
    <row r="9" customFormat="false" ht="15" hidden="false" customHeight="false" outlineLevel="0" collapsed="false">
      <c r="A9" s="3" t="s">
        <v>332</v>
      </c>
      <c r="B9" s="12" t="s">
        <v>321</v>
      </c>
      <c r="C9" s="15" t="s">
        <v>322</v>
      </c>
      <c r="D9" s="27" t="s">
        <v>323</v>
      </c>
    </row>
    <row r="10" customFormat="false" ht="15" hidden="false" customHeight="false" outlineLevel="0" collapsed="false">
      <c r="A10" s="3" t="s">
        <v>333</v>
      </c>
      <c r="B10" s="12" t="s">
        <v>334</v>
      </c>
      <c r="C10" s="15" t="s">
        <v>335</v>
      </c>
      <c r="D10" s="27" t="s">
        <v>323</v>
      </c>
    </row>
    <row r="11" customFormat="false" ht="15" hidden="false" customHeight="false" outlineLevel="0" collapsed="false">
      <c r="A11" s="3" t="s">
        <v>336</v>
      </c>
      <c r="B11" s="12" t="s">
        <v>337</v>
      </c>
      <c r="C11" s="15" t="s">
        <v>338</v>
      </c>
      <c r="D11" s="27" t="s">
        <v>323</v>
      </c>
    </row>
    <row r="12" customFormat="false" ht="15" hidden="false" customHeight="false" outlineLevel="0" collapsed="false">
      <c r="A12" s="3" t="s">
        <v>339</v>
      </c>
      <c r="B12" s="12" t="s">
        <v>340</v>
      </c>
      <c r="C12" s="15" t="s">
        <v>341</v>
      </c>
      <c r="D12" s="27" t="s">
        <v>323</v>
      </c>
    </row>
    <row r="13" customFormat="false" ht="23.85" hidden="false" customHeight="false" outlineLevel="0" collapsed="false">
      <c r="A13" s="3" t="s">
        <v>342</v>
      </c>
      <c r="B13" s="12" t="s">
        <v>343</v>
      </c>
      <c r="C13" s="15" t="s">
        <v>344</v>
      </c>
      <c r="D13" s="27" t="s">
        <v>323</v>
      </c>
    </row>
    <row r="14" customFormat="false" ht="15" hidden="false" customHeight="false" outlineLevel="0" collapsed="false">
      <c r="A14" s="3" t="s">
        <v>345</v>
      </c>
      <c r="B14" s="12" t="s">
        <v>346</v>
      </c>
      <c r="C14" s="15" t="s">
        <v>347</v>
      </c>
      <c r="D14" s="27" t="s">
        <v>323</v>
      </c>
    </row>
    <row r="15" customFormat="false" ht="15" hidden="false" customHeight="false" outlineLevel="0" collapsed="false">
      <c r="A15" s="3" t="s">
        <v>348</v>
      </c>
      <c r="B15" s="12" t="s">
        <v>349</v>
      </c>
      <c r="C15" s="15" t="s">
        <v>350</v>
      </c>
      <c r="D15" s="27" t="s">
        <v>323</v>
      </c>
    </row>
    <row r="16" customFormat="false" ht="15" hidden="false" customHeight="false" outlineLevel="0" collapsed="false">
      <c r="A16" s="3" t="s">
        <v>351</v>
      </c>
      <c r="B16" s="12" t="s">
        <v>352</v>
      </c>
      <c r="C16" s="15" t="s">
        <v>353</v>
      </c>
      <c r="D16" s="27" t="s">
        <v>354</v>
      </c>
    </row>
    <row r="17" customFormat="false" ht="15" hidden="false" customHeight="false" outlineLevel="0" collapsed="false">
      <c r="A17" s="3" t="s">
        <v>355</v>
      </c>
      <c r="B17" s="12" t="s">
        <v>356</v>
      </c>
      <c r="C17" s="15" t="s">
        <v>357</v>
      </c>
      <c r="D17" s="27" t="s">
        <v>358</v>
      </c>
    </row>
    <row r="18" customFormat="false" ht="15" hidden="false" customHeight="false" outlineLevel="0" collapsed="false">
      <c r="A18" s="3" t="s">
        <v>359</v>
      </c>
      <c r="B18" s="12" t="s">
        <v>360</v>
      </c>
      <c r="C18" s="15" t="s">
        <v>361</v>
      </c>
      <c r="D18" s="27" t="s">
        <v>354</v>
      </c>
    </row>
    <row r="19" customFormat="false" ht="15" hidden="false" customHeight="false" outlineLevel="0" collapsed="false">
      <c r="A19" s="3" t="s">
        <v>362</v>
      </c>
      <c r="B19" s="12" t="s">
        <v>363</v>
      </c>
      <c r="C19" s="15" t="s">
        <v>364</v>
      </c>
      <c r="D19" s="27" t="s">
        <v>323</v>
      </c>
    </row>
    <row r="20" customFormat="false" ht="15" hidden="false" customHeight="false" outlineLevel="0" collapsed="false">
      <c r="A20" s="3" t="s">
        <v>365</v>
      </c>
      <c r="B20" s="12" t="s">
        <v>366</v>
      </c>
      <c r="C20" s="15" t="s">
        <v>367</v>
      </c>
      <c r="D20" s="27" t="s">
        <v>323</v>
      </c>
    </row>
    <row r="21" customFormat="false" ht="15" hidden="false" customHeight="false" outlineLevel="0" collapsed="false">
      <c r="A21" s="3" t="s">
        <v>368</v>
      </c>
      <c r="B21" s="12" t="s">
        <v>369</v>
      </c>
      <c r="C21" s="15" t="s">
        <v>370</v>
      </c>
      <c r="D21" s="27" t="s">
        <v>323</v>
      </c>
    </row>
    <row r="22" customFormat="false" ht="15" hidden="false" customHeight="false" outlineLevel="0" collapsed="false">
      <c r="A22" s="3" t="s">
        <v>371</v>
      </c>
      <c r="B22" s="12" t="s">
        <v>372</v>
      </c>
      <c r="C22" s="15" t="s">
        <v>373</v>
      </c>
      <c r="D22" s="27" t="s">
        <v>323</v>
      </c>
    </row>
    <row r="23" customFormat="false" ht="15" hidden="false" customHeight="false" outlineLevel="0" collapsed="false">
      <c r="A23" s="3" t="s">
        <v>374</v>
      </c>
      <c r="B23" s="12" t="s">
        <v>375</v>
      </c>
      <c r="C23" s="15" t="s">
        <v>376</v>
      </c>
      <c r="D23" s="27" t="s">
        <v>323</v>
      </c>
    </row>
    <row r="24" customFormat="false" ht="15" hidden="false" customHeight="false" outlineLevel="0" collapsed="false">
      <c r="A24" s="3" t="s">
        <v>377</v>
      </c>
      <c r="B24" s="12" t="s">
        <v>378</v>
      </c>
      <c r="C24" s="15" t="s">
        <v>379</v>
      </c>
      <c r="D24" s="27" t="s">
        <v>323</v>
      </c>
    </row>
    <row r="25" customFormat="false" ht="15" hidden="false" customHeight="false" outlineLevel="0" collapsed="false">
      <c r="A25" s="3" t="s">
        <v>380</v>
      </c>
      <c r="B25" s="12" t="s">
        <v>381</v>
      </c>
      <c r="C25" s="15" t="s">
        <v>382</v>
      </c>
      <c r="D25" s="27" t="s">
        <v>383</v>
      </c>
    </row>
    <row r="26" customFormat="false" ht="15" hidden="false" customHeight="false" outlineLevel="0" collapsed="false">
      <c r="A26" s="3" t="s">
        <v>384</v>
      </c>
      <c r="B26" s="12" t="s">
        <v>385</v>
      </c>
      <c r="C26" s="15" t="s">
        <v>386</v>
      </c>
      <c r="D26" s="27" t="s">
        <v>387</v>
      </c>
    </row>
    <row r="27" customFormat="false" ht="15" hidden="false" customHeight="false" outlineLevel="0" collapsed="false">
      <c r="A27" s="3" t="s">
        <v>388</v>
      </c>
      <c r="B27" s="12" t="s">
        <v>389</v>
      </c>
      <c r="C27" s="15" t="s">
        <v>390</v>
      </c>
      <c r="D27" s="27" t="s">
        <v>391</v>
      </c>
    </row>
    <row r="28" customFormat="false" ht="15" hidden="false" customHeight="false" outlineLevel="0" collapsed="false">
      <c r="A28" s="3" t="s">
        <v>392</v>
      </c>
      <c r="B28" s="12" t="s">
        <v>393</v>
      </c>
      <c r="C28" s="15" t="s">
        <v>394</v>
      </c>
      <c r="D28" s="27" t="s">
        <v>395</v>
      </c>
    </row>
    <row r="29" customFormat="false" ht="15" hidden="false" customHeight="false" outlineLevel="0" collapsed="false">
      <c r="A29" s="3" t="s">
        <v>396</v>
      </c>
      <c r="B29" s="12" t="s">
        <v>397</v>
      </c>
      <c r="C29" s="15" t="s">
        <v>398</v>
      </c>
      <c r="D29" s="27" t="s">
        <v>395</v>
      </c>
    </row>
    <row r="30" customFormat="false" ht="15" hidden="false" customHeight="false" outlineLevel="0" collapsed="false">
      <c r="A30" s="3" t="s">
        <v>399</v>
      </c>
      <c r="B30" s="12" t="s">
        <v>400</v>
      </c>
      <c r="C30" s="15" t="s">
        <v>401</v>
      </c>
      <c r="D30" s="27" t="s">
        <v>395</v>
      </c>
    </row>
    <row r="31" customFormat="false" ht="15" hidden="false" customHeight="false" outlineLevel="0" collapsed="false">
      <c r="A31" s="3" t="s">
        <v>402</v>
      </c>
      <c r="B31" s="12" t="s">
        <v>403</v>
      </c>
      <c r="C31" s="15" t="s">
        <v>404</v>
      </c>
      <c r="D31" s="27" t="s">
        <v>405</v>
      </c>
    </row>
    <row r="32" customFormat="false" ht="15" hidden="false" customHeight="false" outlineLevel="0" collapsed="false">
      <c r="A32" s="3" t="s">
        <v>406</v>
      </c>
      <c r="B32" s="12" t="s">
        <v>407</v>
      </c>
      <c r="C32" s="15" t="s">
        <v>408</v>
      </c>
      <c r="D32" s="27" t="s">
        <v>409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2026-04-06T13:33:01Z</dcterms:created>
  <dc:creator>openpyxl</dc:creator>
  <dc:description/>
  <dc:language>en-US</dc:language>
  <cp:lastModifiedBy/>
  <dcterms:modified xsi:type="dcterms:W3CDTF">2026-04-06T13:33:01Z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