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Weekly Data" sheetId="2" state="visible" r:id="rId2"/>
    <sheet xmlns:r="http://schemas.openxmlformats.org/officeDocument/2006/relationships" name="Bayesian Reference" sheetId="3" state="visible" r:id="rId3"/>
    <sheet xmlns:r="http://schemas.openxmlformats.org/officeDocument/2006/relationships" name="Entropy Tracker" sheetId="4" state="visible" r:id="rId4"/>
    <sheet xmlns:r="http://schemas.openxmlformats.org/officeDocument/2006/relationships" name="Sequential Monitoring" sheetId="5" state="visible" r:id="rId5"/>
    <sheet xmlns:r="http://schemas.openxmlformats.org/officeDocument/2006/relationships" name="Scenario Model" sheetId="6" state="visible" r:id="rId6"/>
    <sheet xmlns:r="http://schemas.openxmlformats.org/officeDocument/2006/relationships" name="FMEA" sheetId="7" state="visible" r:id="rId7"/>
    <sheet xmlns:r="http://schemas.openxmlformats.org/officeDocument/2006/relationships" name="Gate Reviews" sheetId="8" state="visible" r:id="rId8"/>
    <sheet xmlns:r="http://schemas.openxmlformats.org/officeDocument/2006/relationships" name="DQ Spider" sheetId="9" state="visible" r:id="rId9"/>
    <sheet xmlns:r="http://schemas.openxmlformats.org/officeDocument/2006/relationships" name="Reflexion Log" sheetId="10" state="visible" r:id="rId10"/>
    <sheet xmlns:r="http://schemas.openxmlformats.org/officeDocument/2006/relationships" name="Change Log" sheetId="11" state="visible" r:id="rId11"/>
    <sheet xmlns:r="http://schemas.openxmlformats.org/officeDocument/2006/relationships" name="Calibration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9488"/>
      <sz val="14"/>
    </font>
    <font>
      <name val="Arial"/>
      <charset val="1"/>
      <family val="0"/>
      <color rgb="FF64748B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Arial"/>
      <charset val="1"/>
      <family val="0"/>
      <b val="1"/>
      <color rgb="FF7C3AED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7C3AED"/>
      <sz val="12"/>
    </font>
  </fonts>
  <fills count="5">
    <fill>
      <patternFill/>
    </fill>
    <fill>
      <patternFill patternType="gray125"/>
    </fill>
    <fill>
      <patternFill patternType="solid">
        <fgColor rgb="FF0D9488"/>
        <bgColor rgb="FF008080"/>
      </patternFill>
    </fill>
    <fill>
      <patternFill patternType="solid">
        <fgColor rgb="FFFFFBEB"/>
        <bgColor rgb="FFFFFFFF"/>
      </patternFill>
    </fill>
    <fill>
      <patternFill patternType="solid">
        <fgColor rgb="FF7C3AED"/>
        <bgColor rgb="FF99336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BE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9" min="1" max="1"/>
    <col width="40" customWidth="1" style="19" min="2" max="2"/>
    <col width="25" customWidth="1" style="19" min="3" max="3"/>
    <col width="6" customWidth="1" style="19" min="4" max="5"/>
    <col width="10" customWidth="1" style="19" min="6" max="6"/>
    <col width="12" customWidth="1" style="19" min="7" max="11"/>
    <col width="10" customWidth="1" style="19" min="12" max="12"/>
    <col width="12" customWidth="1" style="19" min="13" max="13"/>
    <col width="10" customWidth="1" style="19" min="14" max="14"/>
    <col width="12" customWidth="1" style="19" min="15" max="15"/>
    <col width="30" customWidth="1" style="19" min="16" max="16"/>
  </cols>
  <sheetData>
    <row r="1" ht="17.35" customHeight="1" s="20">
      <c r="A1" s="21" t="inlineStr">
        <is>
          <t>HYPOTHESIS TRACKER</t>
        </is>
      </c>
    </row>
    <row r="2" ht="15" customHeight="1" s="20">
      <c r="A2" s="22" t="inlineStr">
        <is>
          <t>Phase 1 → Phase 4 lifecycle</t>
        </is>
      </c>
    </row>
    <row r="4" ht="23.85" customHeight="1" s="20">
      <c r="A4" s="23" t="inlineStr">
        <is>
          <t>#</t>
        </is>
      </c>
      <c r="B4" s="23" t="inlineStr">
        <is>
          <t>Hypothesis</t>
        </is>
      </c>
      <c r="C4" s="23" t="inlineStr">
        <is>
          <t>Signal</t>
        </is>
      </c>
      <c r="D4" s="23" t="inlineStr">
        <is>
          <t>α</t>
        </is>
      </c>
      <c r="E4" s="23" t="inlineStr">
        <is>
          <t>β</t>
        </is>
      </c>
      <c r="F4" s="23" t="inlineStr">
        <is>
          <t>P(success)</t>
        </is>
      </c>
      <c r="G4" s="23" t="inlineStr">
        <is>
          <t>CONFIRM if</t>
        </is>
      </c>
      <c r="H4" s="23" t="inlineStr">
        <is>
          <t>REJECT if</t>
        </is>
      </c>
      <c r="I4" s="23" t="inlineStr">
        <is>
          <t>EXTEND if</t>
        </is>
      </c>
      <c r="J4" s="23" t="inlineStr">
        <is>
          <t>Status</t>
        </is>
      </c>
      <c r="K4" s="23" t="inlineStr">
        <is>
          <t>Week Updated</t>
        </is>
      </c>
      <c r="L4" s="23" t="inlineStr">
        <is>
          <t>Portfolio ρ</t>
        </is>
      </c>
      <c r="M4" s="23" t="inlineStr">
        <is>
          <t>EVOI Decision</t>
        </is>
      </c>
      <c r="N4" s="23" t="inlineStr">
        <is>
          <t>Stage</t>
        </is>
      </c>
      <c r="O4" s="23" t="inlineStr">
        <is>
          <t>Gauntlet Done?</t>
        </is>
      </c>
      <c r="P4" s="23" t="inlineStr">
        <is>
          <t>Notes</t>
        </is>
      </c>
    </row>
    <row r="5" ht="15" customHeight="1" s="20">
      <c r="A5" s="24" t="inlineStr">
        <is>
          <t>H1</t>
        </is>
      </c>
      <c r="B5" s="24" t="n"/>
      <c r="C5" s="24" t="n"/>
      <c r="D5" s="25" t="n"/>
      <c r="E5" s="25" t="n"/>
      <c r="F5" s="26">
        <f>IFERROR(D5/(D5+E5),"")</f>
        <v/>
      </c>
      <c r="G5" s="24" t="n"/>
      <c r="H5" s="24" t="n"/>
      <c r="I5" s="24" t="n"/>
      <c r="J5" s="24" t="inlineStr">
        <is>
          <t>OPEN</t>
        </is>
      </c>
      <c r="K5" s="24" t="n"/>
      <c r="L5" s="24" t="n"/>
      <c r="M5" s="24" t="n"/>
      <c r="N5" s="24" t="n"/>
      <c r="O5" s="24" t="n"/>
      <c r="P5" s="24" t="n"/>
    </row>
    <row r="6" ht="15" customHeight="1" s="20">
      <c r="A6" s="24" t="inlineStr">
        <is>
          <t>H2</t>
        </is>
      </c>
      <c r="B6" s="24" t="n"/>
      <c r="C6" s="24" t="n"/>
      <c r="D6" s="25" t="n"/>
      <c r="E6" s="25" t="n"/>
      <c r="F6" s="26">
        <f>IFERROR(D6/(D6+E6),"")</f>
        <v/>
      </c>
      <c r="G6" s="24" t="n"/>
      <c r="H6" s="24" t="n"/>
      <c r="I6" s="24" t="n"/>
      <c r="J6" s="24" t="inlineStr">
        <is>
          <t>OPEN</t>
        </is>
      </c>
      <c r="K6" s="24" t="n"/>
      <c r="L6" s="24" t="n"/>
      <c r="M6" s="24" t="n"/>
      <c r="N6" s="24" t="n"/>
      <c r="O6" s="24" t="n"/>
      <c r="P6" s="24" t="n"/>
    </row>
    <row r="7" ht="15" customHeight="1" s="20">
      <c r="A7" s="24" t="inlineStr">
        <is>
          <t>H3</t>
        </is>
      </c>
      <c r="B7" s="24" t="n"/>
      <c r="C7" s="24" t="n"/>
      <c r="D7" s="25" t="n"/>
      <c r="E7" s="25" t="n"/>
      <c r="F7" s="26">
        <f>IFERROR(D7/(D7+E7),"")</f>
        <v/>
      </c>
      <c r="G7" s="24" t="n"/>
      <c r="H7" s="24" t="n"/>
      <c r="I7" s="24" t="n"/>
      <c r="J7" s="24" t="inlineStr">
        <is>
          <t>OPEN</t>
        </is>
      </c>
      <c r="K7" s="24" t="n"/>
      <c r="L7" s="24" t="n"/>
      <c r="M7" s="24" t="n"/>
      <c r="N7" s="24" t="n"/>
      <c r="O7" s="24" t="n"/>
      <c r="P7" s="24" t="n"/>
    </row>
    <row r="8" ht="15" customHeight="1" s="20">
      <c r="A8" s="24" t="inlineStr">
        <is>
          <t>H4</t>
        </is>
      </c>
      <c r="B8" s="24" t="n"/>
      <c r="C8" s="24" t="n"/>
      <c r="D8" s="25" t="n"/>
      <c r="E8" s="25" t="n"/>
      <c r="F8" s="26">
        <f>IFERROR(D8/(D8+E8),"")</f>
        <v/>
      </c>
      <c r="G8" s="24" t="n"/>
      <c r="H8" s="24" t="n"/>
      <c r="I8" s="24" t="n"/>
      <c r="J8" s="24" t="inlineStr">
        <is>
          <t>OPEN</t>
        </is>
      </c>
      <c r="K8" s="24" t="n"/>
      <c r="L8" s="24" t="n"/>
      <c r="M8" s="24" t="n"/>
      <c r="N8" s="24" t="n"/>
      <c r="O8" s="24" t="n"/>
      <c r="P8" s="24" t="n"/>
    </row>
    <row r="9" ht="15" customHeight="1" s="20">
      <c r="A9" s="24" t="inlineStr">
        <is>
          <t>H5</t>
        </is>
      </c>
      <c r="B9" s="24" t="n"/>
      <c r="C9" s="24" t="n"/>
      <c r="D9" s="25" t="n"/>
      <c r="E9" s="25" t="n"/>
      <c r="F9" s="26">
        <f>IFERROR(D9/(D9+E9),"")</f>
        <v/>
      </c>
      <c r="G9" s="24" t="n"/>
      <c r="H9" s="24" t="n"/>
      <c r="I9" s="24" t="n"/>
      <c r="J9" s="24" t="inlineStr">
        <is>
          <t>OPEN</t>
        </is>
      </c>
      <c r="K9" s="24" t="n"/>
      <c r="L9" s="24" t="n"/>
      <c r="M9" s="24" t="n"/>
      <c r="N9" s="24" t="n"/>
      <c r="O9" s="24" t="n"/>
      <c r="P9" s="24" t="n"/>
    </row>
    <row r="10" ht="15" customHeight="1" s="20">
      <c r="A10" s="24" t="inlineStr">
        <is>
          <t>H6</t>
        </is>
      </c>
      <c r="B10" s="24" t="n"/>
      <c r="C10" s="24" t="n"/>
      <c r="D10" s="25" t="n"/>
      <c r="E10" s="25" t="n"/>
      <c r="F10" s="26">
        <f>IFERROR(D10/(D10+E10),"")</f>
        <v/>
      </c>
      <c r="G10" s="24" t="n"/>
      <c r="H10" s="24" t="n"/>
      <c r="I10" s="24" t="n"/>
      <c r="J10" s="24" t="inlineStr">
        <is>
          <t>OPEN</t>
        </is>
      </c>
      <c r="K10" s="24" t="n"/>
      <c r="L10" s="24" t="n"/>
      <c r="M10" s="24" t="n"/>
      <c r="N10" s="24" t="n"/>
      <c r="O10" s="24" t="n"/>
      <c r="P10" s="24" t="n"/>
    </row>
    <row r="11" ht="15" customHeight="1" s="20">
      <c r="A11" s="24" t="inlineStr">
        <is>
          <t>H7</t>
        </is>
      </c>
      <c r="B11" s="24" t="n"/>
      <c r="C11" s="24" t="n"/>
      <c r="D11" s="25" t="n"/>
      <c r="E11" s="25" t="n"/>
      <c r="F11" s="26">
        <f>IFERROR(D11/(D11+E11),"")</f>
        <v/>
      </c>
      <c r="G11" s="24" t="n"/>
      <c r="H11" s="24" t="n"/>
      <c r="I11" s="24" t="n"/>
      <c r="J11" s="24" t="inlineStr">
        <is>
          <t>OPEN</t>
        </is>
      </c>
      <c r="K11" s="24" t="n"/>
      <c r="L11" s="24" t="n"/>
      <c r="M11" s="24" t="n"/>
      <c r="N11" s="24" t="n"/>
      <c r="O11" s="24" t="n"/>
      <c r="P11" s="24" t="n"/>
    </row>
    <row r="12" ht="15" customHeight="1" s="20">
      <c r="A12" s="24" t="inlineStr">
        <is>
          <t>H8</t>
        </is>
      </c>
      <c r="B12" s="24" t="n"/>
      <c r="C12" s="24" t="n"/>
      <c r="D12" s="25" t="n"/>
      <c r="E12" s="25" t="n"/>
      <c r="F12" s="26">
        <f>IFERROR(D12/(D12+E12),"")</f>
        <v/>
      </c>
      <c r="G12" s="24" t="n"/>
      <c r="H12" s="24" t="n"/>
      <c r="I12" s="24" t="n"/>
      <c r="J12" s="24" t="inlineStr">
        <is>
          <t>OPEN</t>
        </is>
      </c>
      <c r="K12" s="24" t="n"/>
      <c r="L12" s="24" t="n"/>
      <c r="M12" s="24" t="n"/>
      <c r="N12" s="24" t="n"/>
      <c r="O12" s="24" t="n"/>
      <c r="P12" s="24" t="n"/>
    </row>
    <row r="13" ht="15" customHeight="1" s="20">
      <c r="A13" s="24" t="inlineStr">
        <is>
          <t>H9</t>
        </is>
      </c>
      <c r="B13" s="24" t="n"/>
      <c r="C13" s="24" t="n"/>
      <c r="D13" s="25" t="n"/>
      <c r="E13" s="25" t="n"/>
      <c r="F13" s="26">
        <f>IFERROR(D13/(D13+E13),"")</f>
        <v/>
      </c>
      <c r="G13" s="24" t="n"/>
      <c r="H13" s="24" t="n"/>
      <c r="I13" s="24" t="n"/>
      <c r="J13" s="24" t="inlineStr">
        <is>
          <t>OPEN</t>
        </is>
      </c>
      <c r="K13" s="24" t="n"/>
      <c r="L13" s="24" t="n"/>
      <c r="M13" s="24" t="n"/>
      <c r="N13" s="24" t="n"/>
      <c r="O13" s="24" t="n"/>
      <c r="P13" s="24" t="n"/>
    </row>
    <row r="14" ht="15" customHeight="1" s="20">
      <c r="A14" s="24" t="inlineStr">
        <is>
          <t>H10</t>
        </is>
      </c>
      <c r="B14" s="24" t="n"/>
      <c r="C14" s="24" t="n"/>
      <c r="D14" s="25" t="n"/>
      <c r="E14" s="25" t="n"/>
      <c r="F14" s="26">
        <f>IFERROR(D14/(D14+E14),"")</f>
        <v/>
      </c>
      <c r="G14" s="24" t="n"/>
      <c r="H14" s="24" t="n"/>
      <c r="I14" s="24" t="n"/>
      <c r="J14" s="24" t="inlineStr">
        <is>
          <t>OPEN</t>
        </is>
      </c>
      <c r="K14" s="24" t="n"/>
      <c r="L14" s="24" t="n"/>
      <c r="M14" s="24" t="n"/>
      <c r="N14" s="24" t="n"/>
      <c r="O14" s="24" t="n"/>
      <c r="P14" s="24" t="n"/>
    </row>
    <row r="15" ht="15" customHeight="1" s="20">
      <c r="A15" s="24" t="inlineStr">
        <is>
          <t>H11</t>
        </is>
      </c>
      <c r="B15" s="24" t="n"/>
      <c r="C15" s="24" t="n"/>
      <c r="D15" s="25" t="n"/>
      <c r="E15" s="25" t="n"/>
      <c r="F15" s="26">
        <f>IFERROR(D15/(D15+E15),"")</f>
        <v/>
      </c>
      <c r="G15" s="24" t="n"/>
      <c r="H15" s="24" t="n"/>
      <c r="I15" s="24" t="n"/>
      <c r="J15" s="24" t="inlineStr">
        <is>
          <t>OPEN</t>
        </is>
      </c>
      <c r="K15" s="24" t="n"/>
      <c r="L15" s="24" t="n"/>
      <c r="M15" s="24" t="n"/>
      <c r="N15" s="24" t="n"/>
      <c r="O15" s="24" t="n"/>
      <c r="P15" s="24" t="n"/>
    </row>
    <row r="16" ht="15" customHeight="1" s="20">
      <c r="A16" s="24" t="inlineStr">
        <is>
          <t>H12</t>
        </is>
      </c>
      <c r="B16" s="24" t="n"/>
      <c r="C16" s="24" t="n"/>
      <c r="D16" s="25" t="n"/>
      <c r="E16" s="25" t="n"/>
      <c r="F16" s="26">
        <f>IFERROR(D16/(D16+E16),"")</f>
        <v/>
      </c>
      <c r="G16" s="24" t="n"/>
      <c r="H16" s="24" t="n"/>
      <c r="I16" s="24" t="n"/>
      <c r="J16" s="24" t="inlineStr">
        <is>
          <t>OPEN</t>
        </is>
      </c>
      <c r="K16" s="24" t="n"/>
      <c r="L16" s="24" t="n"/>
      <c r="M16" s="24" t="n"/>
      <c r="N16" s="24" t="n"/>
      <c r="O16" s="24" t="n"/>
      <c r="P16" s="24" t="n"/>
    </row>
    <row r="17" ht="15" customHeight="1" s="20">
      <c r="A17" s="24" t="inlineStr">
        <is>
          <t>H13</t>
        </is>
      </c>
      <c r="B17" s="24" t="n"/>
      <c r="C17" s="24" t="n"/>
      <c r="D17" s="25" t="n"/>
      <c r="E17" s="25" t="n"/>
      <c r="F17" s="26">
        <f>IFERROR(D17/(D17+E17),"")</f>
        <v/>
      </c>
      <c r="G17" s="24" t="n"/>
      <c r="H17" s="24" t="n"/>
      <c r="I17" s="24" t="n"/>
      <c r="J17" s="24" t="inlineStr">
        <is>
          <t>OPEN</t>
        </is>
      </c>
      <c r="K17" s="24" t="n"/>
      <c r="L17" s="24" t="n"/>
      <c r="M17" s="24" t="n"/>
      <c r="N17" s="24" t="n"/>
      <c r="O17" s="24" t="n"/>
      <c r="P17" s="24" t="n"/>
    </row>
    <row r="18" ht="15" customHeight="1" s="20">
      <c r="A18" s="24" t="inlineStr">
        <is>
          <t>H14</t>
        </is>
      </c>
      <c r="B18" s="24" t="n"/>
      <c r="C18" s="24" t="n"/>
      <c r="D18" s="25" t="n"/>
      <c r="E18" s="25" t="n"/>
      <c r="F18" s="26">
        <f>IFERROR(D18/(D18+E18),"")</f>
        <v/>
      </c>
      <c r="G18" s="24" t="n"/>
      <c r="H18" s="24" t="n"/>
      <c r="I18" s="24" t="n"/>
      <c r="J18" s="24" t="inlineStr">
        <is>
          <t>OPEN</t>
        </is>
      </c>
      <c r="K18" s="24" t="n"/>
      <c r="L18" s="24" t="n"/>
      <c r="M18" s="24" t="n"/>
      <c r="N18" s="24" t="n"/>
      <c r="O18" s="24" t="n"/>
      <c r="P18" s="24" t="n"/>
    </row>
    <row r="19" ht="15" customHeight="1" s="20">
      <c r="A19" s="24" t="inlineStr">
        <is>
          <t>H15</t>
        </is>
      </c>
      <c r="B19" s="24" t="n"/>
      <c r="C19" s="24" t="n"/>
      <c r="D19" s="25" t="n"/>
      <c r="E19" s="25" t="n"/>
      <c r="F19" s="26">
        <f>IFERROR(D19/(D19+E19),"")</f>
        <v/>
      </c>
      <c r="G19" s="24" t="n"/>
      <c r="H19" s="24" t="n"/>
      <c r="I19" s="24" t="n"/>
      <c r="J19" s="24" t="inlineStr">
        <is>
          <t>OPEN</t>
        </is>
      </c>
      <c r="K19" s="24" t="n"/>
      <c r="L19" s="24" t="n"/>
      <c r="M19" s="24" t="n"/>
      <c r="N19" s="24" t="n"/>
      <c r="O19" s="24" t="n"/>
      <c r="P19" s="24" t="n"/>
    </row>
    <row r="20" ht="15" customHeight="1" s="20">
      <c r="A20" s="24" t="inlineStr">
        <is>
          <t>H16</t>
        </is>
      </c>
      <c r="B20" s="24" t="n"/>
      <c r="C20" s="24" t="n"/>
      <c r="D20" s="25" t="n"/>
      <c r="E20" s="25" t="n"/>
      <c r="F20" s="26">
        <f>IFERROR(D20/(D20+E20),"")</f>
        <v/>
      </c>
      <c r="G20" s="24" t="n"/>
      <c r="H20" s="24" t="n"/>
      <c r="I20" s="24" t="n"/>
      <c r="J20" s="24" t="inlineStr">
        <is>
          <t>OPEN</t>
        </is>
      </c>
      <c r="K20" s="24" t="n"/>
      <c r="L20" s="24" t="n"/>
      <c r="M20" s="24" t="n"/>
      <c r="N20" s="24" t="n"/>
      <c r="O20" s="24" t="n"/>
      <c r="P20" s="24" t="n"/>
    </row>
    <row r="21" ht="15" customHeight="1" s="20">
      <c r="A21" s="24" t="inlineStr">
        <is>
          <t>H17</t>
        </is>
      </c>
      <c r="B21" s="24" t="n"/>
      <c r="C21" s="24" t="n"/>
      <c r="D21" s="25" t="n"/>
      <c r="E21" s="25" t="n"/>
      <c r="F21" s="26">
        <f>IFERROR(D21/(D21+E21),"")</f>
        <v/>
      </c>
      <c r="G21" s="24" t="n"/>
      <c r="H21" s="24" t="n"/>
      <c r="I21" s="24" t="n"/>
      <c r="J21" s="24" t="inlineStr">
        <is>
          <t>OPEN</t>
        </is>
      </c>
      <c r="K21" s="24" t="n"/>
      <c r="L21" s="24" t="n"/>
      <c r="M21" s="24" t="n"/>
      <c r="N21" s="24" t="n"/>
      <c r="O21" s="24" t="n"/>
      <c r="P21" s="24" t="n"/>
    </row>
    <row r="22" ht="15" customHeight="1" s="20">
      <c r="A22" s="24" t="inlineStr">
        <is>
          <t>H18</t>
        </is>
      </c>
      <c r="B22" s="24" t="n"/>
      <c r="C22" s="24" t="n"/>
      <c r="D22" s="25" t="n"/>
      <c r="E22" s="25" t="n"/>
      <c r="F22" s="26">
        <f>IFERROR(D22/(D22+E22),"")</f>
        <v/>
      </c>
      <c r="G22" s="24" t="n"/>
      <c r="H22" s="24" t="n"/>
      <c r="I22" s="24" t="n"/>
      <c r="J22" s="24" t="inlineStr">
        <is>
          <t>OPEN</t>
        </is>
      </c>
      <c r="K22" s="24" t="n"/>
      <c r="L22" s="24" t="n"/>
      <c r="M22" s="24" t="n"/>
      <c r="N22" s="24" t="n"/>
      <c r="O22" s="24" t="n"/>
      <c r="P22" s="24" t="n"/>
    </row>
    <row r="23" ht="15" customHeight="1" s="20">
      <c r="A23" s="24" t="inlineStr">
        <is>
          <t>H19</t>
        </is>
      </c>
      <c r="B23" s="24" t="n"/>
      <c r="C23" s="24" t="n"/>
      <c r="D23" s="25" t="n"/>
      <c r="E23" s="25" t="n"/>
      <c r="F23" s="26">
        <f>IFERROR(D23/(D23+E23),"")</f>
        <v/>
      </c>
      <c r="G23" s="24" t="n"/>
      <c r="H23" s="24" t="n"/>
      <c r="I23" s="24" t="n"/>
      <c r="J23" s="24" t="inlineStr">
        <is>
          <t>OPEN</t>
        </is>
      </c>
      <c r="K23" s="24" t="n"/>
      <c r="L23" s="24" t="n"/>
      <c r="M23" s="24" t="n"/>
      <c r="N23" s="24" t="n"/>
      <c r="O23" s="24" t="n"/>
      <c r="P23" s="24" t="n"/>
    </row>
    <row r="24" ht="15" customHeight="1" s="20">
      <c r="A24" s="24" t="inlineStr">
        <is>
          <t>H20</t>
        </is>
      </c>
      <c r="B24" s="24" t="n"/>
      <c r="C24" s="24" t="n"/>
      <c r="D24" s="25" t="n"/>
      <c r="E24" s="25" t="n"/>
      <c r="F24" s="26">
        <f>IFERROR(D24/(D24+E24),"")</f>
        <v/>
      </c>
      <c r="G24" s="24" t="n"/>
      <c r="H24" s="24" t="n"/>
      <c r="I24" s="24" t="n"/>
      <c r="J24" s="24" t="inlineStr">
        <is>
          <t>OPEN</t>
        </is>
      </c>
      <c r="K24" s="24" t="n"/>
      <c r="L24" s="24" t="n"/>
      <c r="M24" s="24" t="n"/>
      <c r="N24" s="24" t="n"/>
      <c r="O24" s="24" t="n"/>
      <c r="P24" s="24" t="n"/>
    </row>
  </sheetData>
  <conditionalFormatting sqref="J5:J24">
    <cfRule type="cellIs" rank="0" priority="2" equalAverage="0" operator="equal" aboveAverage="0" dxfId="0" text="" percent="0" bottom="0">
      <formula>"CONFIRMED"</formula>
    </cfRule>
    <cfRule type="cellIs" rank="0" priority="3" equalAverage="0" operator="equal" aboveAverage="0" dxfId="1" text="" percent="0" bottom="0">
      <formula>"REJECTED"</formula>
    </cfRule>
    <cfRule type="cellIs" rank="0" priority="4" equalAverage="0" operator="equal" aboveAverage="0" dxfId="2" text="" percent="0" bottom="0">
      <formula>"OPEN"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9" min="1" max="1"/>
    <col width="12" customWidth="1" style="19" min="2" max="2"/>
    <col width="35" customWidth="1" style="19" min="3" max="3"/>
    <col width="12" customWidth="1" style="19" min="4" max="4"/>
    <col width="10" customWidth="1" style="19" min="5" max="6"/>
    <col width="12" customWidth="1" style="19" min="7" max="7"/>
    <col width="10" customWidth="1" style="19" min="8" max="9"/>
    <col width="30" customWidth="1" style="19" min="10" max="10"/>
  </cols>
  <sheetData>
    <row r="1" ht="17.35" customHeight="1" s="20">
      <c r="A1" s="21" t="inlineStr">
        <is>
          <t>WEEKLY DATA INTAKE</t>
        </is>
      </c>
    </row>
    <row r="2" ht="15" customHeight="1" s="20">
      <c r="A2" s="22" t="inlineStr">
        <is>
          <t>Paste GSC/GA4 exports here each cycle</t>
        </is>
      </c>
    </row>
    <row r="4" ht="15" customHeight="1" s="20">
      <c r="A4" s="23" t="inlineStr">
        <is>
          <t>Week #</t>
        </is>
      </c>
      <c r="B4" s="23" t="inlineStr">
        <is>
          <t>Date</t>
        </is>
      </c>
      <c r="C4" s="23" t="inlineStr">
        <is>
          <t>Page/Component</t>
        </is>
      </c>
      <c r="D4" s="23" t="inlineStr">
        <is>
          <t>Impressions</t>
        </is>
      </c>
      <c r="E4" s="23" t="inlineStr">
        <is>
          <t>Clicks</t>
        </is>
      </c>
      <c r="F4" s="23" t="inlineStr">
        <is>
          <t>CTR</t>
        </is>
      </c>
      <c r="G4" s="23" t="inlineStr">
        <is>
          <t>Avg Position</t>
        </is>
      </c>
      <c r="H4" s="23" t="inlineStr">
        <is>
          <t>Successes</t>
        </is>
      </c>
      <c r="I4" s="23" t="inlineStr">
        <is>
          <t>Failures</t>
        </is>
      </c>
      <c r="J4" s="23" t="inlineStr">
        <is>
          <t>Notes</t>
        </is>
      </c>
    </row>
    <row r="5" ht="15" customHeight="1" s="20">
      <c r="A5" s="24" t="n"/>
      <c r="B5" s="24" t="n"/>
      <c r="C5" s="24" t="n"/>
      <c r="D5" s="24" t="n"/>
      <c r="E5" s="24" t="n"/>
      <c r="F5" s="26">
        <f>IFERROR(IF(D5&gt;0,E5/D5,0),"")</f>
        <v/>
      </c>
      <c r="G5" s="24" t="n"/>
      <c r="H5" s="24" t="n"/>
      <c r="I5" s="24" t="n"/>
      <c r="J5" s="24" t="n"/>
    </row>
    <row r="6" ht="15" customHeight="1" s="20">
      <c r="A6" s="24" t="n"/>
      <c r="B6" s="24" t="n"/>
      <c r="C6" s="24" t="n"/>
      <c r="D6" s="24" t="n"/>
      <c r="E6" s="24" t="n"/>
      <c r="F6" s="26">
        <f>IFERROR(IF(D6&gt;0,E6/D6,0),"")</f>
        <v/>
      </c>
      <c r="G6" s="24" t="n"/>
      <c r="H6" s="24" t="n"/>
      <c r="I6" s="24" t="n"/>
      <c r="J6" s="24" t="n"/>
    </row>
    <row r="7" ht="15" customHeight="1" s="20">
      <c r="A7" s="24" t="n"/>
      <c r="B7" s="24" t="n"/>
      <c r="C7" s="24" t="n"/>
      <c r="D7" s="24" t="n"/>
      <c r="E7" s="24" t="n"/>
      <c r="F7" s="26">
        <f>IFERROR(IF(D7&gt;0,E7/D7,0),"")</f>
        <v/>
      </c>
      <c r="G7" s="24" t="n"/>
      <c r="H7" s="24" t="n"/>
      <c r="I7" s="24" t="n"/>
      <c r="J7" s="24" t="n"/>
    </row>
    <row r="8" ht="15" customHeight="1" s="20">
      <c r="A8" s="24" t="n"/>
      <c r="B8" s="24" t="n"/>
      <c r="C8" s="24" t="n"/>
      <c r="D8" s="24" t="n"/>
      <c r="E8" s="24" t="n"/>
      <c r="F8" s="26">
        <f>IFERROR(IF(D8&gt;0,E8/D8,0),"")</f>
        <v/>
      </c>
      <c r="G8" s="24" t="n"/>
      <c r="H8" s="24" t="n"/>
      <c r="I8" s="24" t="n"/>
      <c r="J8" s="24" t="n"/>
    </row>
    <row r="9" ht="15" customHeight="1" s="20">
      <c r="A9" s="24" t="n"/>
      <c r="B9" s="24" t="n"/>
      <c r="C9" s="24" t="n"/>
      <c r="D9" s="24" t="n"/>
      <c r="E9" s="24" t="n"/>
      <c r="F9" s="26">
        <f>IFERROR(IF(D9&gt;0,E9/D9,0),"")</f>
        <v/>
      </c>
      <c r="G9" s="24" t="n"/>
      <c r="H9" s="24" t="n"/>
      <c r="I9" s="24" t="n"/>
      <c r="J9" s="24" t="n"/>
    </row>
    <row r="10" ht="15" customHeight="1" s="20">
      <c r="A10" s="24" t="n"/>
      <c r="B10" s="24" t="n"/>
      <c r="C10" s="24" t="n"/>
      <c r="D10" s="24" t="n"/>
      <c r="E10" s="24" t="n"/>
      <c r="F10" s="26">
        <f>IFERROR(IF(D10&gt;0,E10/D10,0),"")</f>
        <v/>
      </c>
      <c r="G10" s="24" t="n"/>
      <c r="H10" s="24" t="n"/>
      <c r="I10" s="24" t="n"/>
      <c r="J10" s="24" t="n"/>
    </row>
    <row r="11" ht="15" customHeight="1" s="20">
      <c r="A11" s="24" t="n"/>
      <c r="B11" s="24" t="n"/>
      <c r="C11" s="24" t="n"/>
      <c r="D11" s="24" t="n"/>
      <c r="E11" s="24" t="n"/>
      <c r="F11" s="26">
        <f>IFERROR(IF(D11&gt;0,E11/D11,0),"")</f>
        <v/>
      </c>
      <c r="G11" s="24" t="n"/>
      <c r="H11" s="24" t="n"/>
      <c r="I11" s="24" t="n"/>
      <c r="J11" s="24" t="n"/>
    </row>
    <row r="12" ht="15" customHeight="1" s="20">
      <c r="A12" s="24" t="n"/>
      <c r="B12" s="24" t="n"/>
      <c r="C12" s="24" t="n"/>
      <c r="D12" s="24" t="n"/>
      <c r="E12" s="24" t="n"/>
      <c r="F12" s="26">
        <f>IFERROR(IF(D12&gt;0,E12/D12,0),"")</f>
        <v/>
      </c>
      <c r="G12" s="24" t="n"/>
      <c r="H12" s="24" t="n"/>
      <c r="I12" s="24" t="n"/>
      <c r="J12" s="24" t="n"/>
    </row>
    <row r="13" ht="15" customHeight="1" s="20">
      <c r="A13" s="24" t="n"/>
      <c r="B13" s="24" t="n"/>
      <c r="C13" s="24" t="n"/>
      <c r="D13" s="24" t="n"/>
      <c r="E13" s="24" t="n"/>
      <c r="F13" s="26">
        <f>IFERROR(IF(D13&gt;0,E13/D13,0),"")</f>
        <v/>
      </c>
      <c r="G13" s="24" t="n"/>
      <c r="H13" s="24" t="n"/>
      <c r="I13" s="24" t="n"/>
      <c r="J13" s="24" t="n"/>
    </row>
    <row r="14" ht="15" customHeight="1" s="20">
      <c r="A14" s="24" t="n"/>
      <c r="B14" s="24" t="n"/>
      <c r="C14" s="24" t="n"/>
      <c r="D14" s="24" t="n"/>
      <c r="E14" s="24" t="n"/>
      <c r="F14" s="26">
        <f>IFERROR(IF(D14&gt;0,E14/D14,0),"")</f>
        <v/>
      </c>
      <c r="G14" s="24" t="n"/>
      <c r="H14" s="24" t="n"/>
      <c r="I14" s="24" t="n"/>
      <c r="J14" s="24" t="n"/>
    </row>
    <row r="15" ht="15" customHeight="1" s="20">
      <c r="A15" s="24" t="n"/>
      <c r="B15" s="24" t="n"/>
      <c r="C15" s="24" t="n"/>
      <c r="D15" s="24" t="n"/>
      <c r="E15" s="24" t="n"/>
      <c r="F15" s="26">
        <f>IFERROR(IF(D15&gt;0,E15/D15,0),"")</f>
        <v/>
      </c>
      <c r="G15" s="24" t="n"/>
      <c r="H15" s="24" t="n"/>
      <c r="I15" s="24" t="n"/>
      <c r="J15" s="24" t="n"/>
    </row>
    <row r="16" ht="15" customHeight="1" s="20">
      <c r="A16" s="24" t="n"/>
      <c r="B16" s="24" t="n"/>
      <c r="C16" s="24" t="n"/>
      <c r="D16" s="24" t="n"/>
      <c r="E16" s="24" t="n"/>
      <c r="F16" s="26">
        <f>IFERROR(IF(D16&gt;0,E16/D16,0),"")</f>
        <v/>
      </c>
      <c r="G16" s="24" t="n"/>
      <c r="H16" s="24" t="n"/>
      <c r="I16" s="24" t="n"/>
      <c r="J16" s="24" t="n"/>
    </row>
    <row r="17" ht="15" customHeight="1" s="20">
      <c r="A17" s="24" t="n"/>
      <c r="B17" s="24" t="n"/>
      <c r="C17" s="24" t="n"/>
      <c r="D17" s="24" t="n"/>
      <c r="E17" s="24" t="n"/>
      <c r="F17" s="26">
        <f>IFERROR(IF(D17&gt;0,E17/D17,0),"")</f>
        <v/>
      </c>
      <c r="G17" s="24" t="n"/>
      <c r="H17" s="24" t="n"/>
      <c r="I17" s="24" t="n"/>
      <c r="J17" s="24" t="n"/>
    </row>
    <row r="18" ht="15" customHeight="1" s="20">
      <c r="A18" s="24" t="n"/>
      <c r="B18" s="24" t="n"/>
      <c r="C18" s="24" t="n"/>
      <c r="D18" s="24" t="n"/>
      <c r="E18" s="24" t="n"/>
      <c r="F18" s="26">
        <f>IFERROR(IF(D18&gt;0,E18/D18,0),"")</f>
        <v/>
      </c>
      <c r="G18" s="24" t="n"/>
      <c r="H18" s="24" t="n"/>
      <c r="I18" s="24" t="n"/>
      <c r="J18" s="24" t="n"/>
    </row>
    <row r="19" ht="15" customHeight="1" s="20">
      <c r="A19" s="24" t="n"/>
      <c r="B19" s="24" t="n"/>
      <c r="C19" s="24" t="n"/>
      <c r="D19" s="24" t="n"/>
      <c r="E19" s="24" t="n"/>
      <c r="F19" s="26">
        <f>IFERROR(IF(D19&gt;0,E19/D19,0),"")</f>
        <v/>
      </c>
      <c r="G19" s="24" t="n"/>
      <c r="H19" s="24" t="n"/>
      <c r="I19" s="24" t="n"/>
      <c r="J19" s="24" t="n"/>
    </row>
    <row r="20" ht="15" customHeight="1" s="20">
      <c r="A20" s="24" t="n"/>
      <c r="B20" s="24" t="n"/>
      <c r="C20" s="24" t="n"/>
      <c r="D20" s="24" t="n"/>
      <c r="E20" s="24" t="n"/>
      <c r="F20" s="26">
        <f>IFERROR(IF(D20&gt;0,E20/D20,0),"")</f>
        <v/>
      </c>
      <c r="G20" s="24" t="n"/>
      <c r="H20" s="24" t="n"/>
      <c r="I20" s="24" t="n"/>
      <c r="J20" s="24" t="n"/>
    </row>
    <row r="21" ht="15" customHeight="1" s="20">
      <c r="A21" s="24" t="n"/>
      <c r="B21" s="24" t="n"/>
      <c r="C21" s="24" t="n"/>
      <c r="D21" s="24" t="n"/>
      <c r="E21" s="24" t="n"/>
      <c r="F21" s="26">
        <f>IFERROR(IF(D21&gt;0,E21/D21,0),"")</f>
        <v/>
      </c>
      <c r="G21" s="24" t="n"/>
      <c r="H21" s="24" t="n"/>
      <c r="I21" s="24" t="n"/>
      <c r="J21" s="24" t="n"/>
    </row>
    <row r="22" ht="15" customHeight="1" s="20">
      <c r="A22" s="24" t="n"/>
      <c r="B22" s="24" t="n"/>
      <c r="C22" s="24" t="n"/>
      <c r="D22" s="24" t="n"/>
      <c r="E22" s="24" t="n"/>
      <c r="F22" s="26">
        <f>IFERROR(IF(D22&gt;0,E22/D22,0),"")</f>
        <v/>
      </c>
      <c r="G22" s="24" t="n"/>
      <c r="H22" s="24" t="n"/>
      <c r="I22" s="24" t="n"/>
      <c r="J22" s="24" t="n"/>
    </row>
    <row r="23" ht="15" customHeight="1" s="20">
      <c r="A23" s="24" t="n"/>
      <c r="B23" s="24" t="n"/>
      <c r="C23" s="24" t="n"/>
      <c r="D23" s="24" t="n"/>
      <c r="E23" s="24" t="n"/>
      <c r="F23" s="26">
        <f>IFERROR(IF(D23&gt;0,E23/D23,0),"")</f>
        <v/>
      </c>
      <c r="G23" s="24" t="n"/>
      <c r="H23" s="24" t="n"/>
      <c r="I23" s="24" t="n"/>
      <c r="J23" s="24" t="n"/>
    </row>
    <row r="24" ht="15" customHeight="1" s="20">
      <c r="A24" s="24" t="n"/>
      <c r="B24" s="24" t="n"/>
      <c r="C24" s="24" t="n"/>
      <c r="D24" s="24" t="n"/>
      <c r="E24" s="24" t="n"/>
      <c r="F24" s="26">
        <f>IFERROR(IF(D24&gt;0,E24/D24,0),"")</f>
        <v/>
      </c>
      <c r="G24" s="24" t="n"/>
      <c r="H24" s="24" t="n"/>
      <c r="I24" s="24" t="n"/>
      <c r="J24" s="24" t="n"/>
    </row>
    <row r="25" ht="15" customHeight="1" s="20">
      <c r="A25" s="24" t="n"/>
      <c r="B25" s="24" t="n"/>
      <c r="C25" s="24" t="n"/>
      <c r="D25" s="24" t="n"/>
      <c r="E25" s="24" t="n"/>
      <c r="F25" s="26">
        <f>IFERROR(IF(D25&gt;0,E25/D25,0),"")</f>
        <v/>
      </c>
      <c r="G25" s="24" t="n"/>
      <c r="H25" s="24" t="n"/>
      <c r="I25" s="24" t="n"/>
      <c r="J25" s="24" t="n"/>
    </row>
    <row r="26" ht="15" customHeight="1" s="20">
      <c r="A26" s="24" t="n"/>
      <c r="B26" s="24" t="n"/>
      <c r="C26" s="24" t="n"/>
      <c r="D26" s="24" t="n"/>
      <c r="E26" s="24" t="n"/>
      <c r="F26" s="26">
        <f>IFERROR(IF(D26&gt;0,E26/D26,0),"")</f>
        <v/>
      </c>
      <c r="G26" s="24" t="n"/>
      <c r="H26" s="24" t="n"/>
      <c r="I26" s="24" t="n"/>
      <c r="J26" s="24" t="n"/>
    </row>
    <row r="27" ht="15" customHeight="1" s="20">
      <c r="A27" s="24" t="n"/>
      <c r="B27" s="24" t="n"/>
      <c r="C27" s="24" t="n"/>
      <c r="D27" s="24" t="n"/>
      <c r="E27" s="24" t="n"/>
      <c r="F27" s="26">
        <f>IFERROR(IF(D27&gt;0,E27/D27,0),"")</f>
        <v/>
      </c>
      <c r="G27" s="24" t="n"/>
      <c r="H27" s="24" t="n"/>
      <c r="I27" s="24" t="n"/>
      <c r="J27" s="24" t="n"/>
    </row>
    <row r="28" ht="15" customHeight="1" s="20">
      <c r="A28" s="24" t="n"/>
      <c r="B28" s="24" t="n"/>
      <c r="C28" s="24" t="n"/>
      <c r="D28" s="24" t="n"/>
      <c r="E28" s="24" t="n"/>
      <c r="F28" s="26">
        <f>IFERROR(IF(D28&gt;0,E28/D28,0),"")</f>
        <v/>
      </c>
      <c r="G28" s="24" t="n"/>
      <c r="H28" s="24" t="n"/>
      <c r="I28" s="24" t="n"/>
      <c r="J28" s="24" t="n"/>
    </row>
    <row r="29" ht="15" customHeight="1" s="20">
      <c r="A29" s="24" t="n"/>
      <c r="B29" s="24" t="n"/>
      <c r="C29" s="24" t="n"/>
      <c r="D29" s="24" t="n"/>
      <c r="E29" s="24" t="n"/>
      <c r="F29" s="26">
        <f>IFERROR(IF(D29&gt;0,E29/D29,0),"")</f>
        <v/>
      </c>
      <c r="G29" s="24" t="n"/>
      <c r="H29" s="24" t="n"/>
      <c r="I29" s="24" t="n"/>
      <c r="J29" s="24" t="n"/>
    </row>
    <row r="30" ht="15" customHeight="1" s="20">
      <c r="A30" s="24" t="n"/>
      <c r="B30" s="24" t="n"/>
      <c r="C30" s="24" t="n"/>
      <c r="D30" s="24" t="n"/>
      <c r="E30" s="24" t="n"/>
      <c r="F30" s="26">
        <f>IFERROR(IF(D30&gt;0,E30/D30,0),"")</f>
        <v/>
      </c>
      <c r="G30" s="24" t="n"/>
      <c r="H30" s="24" t="n"/>
      <c r="I30" s="24" t="n"/>
      <c r="J30" s="24" t="n"/>
    </row>
    <row r="31" ht="15" customHeight="1" s="20">
      <c r="A31" s="24" t="n"/>
      <c r="B31" s="24" t="n"/>
      <c r="C31" s="24" t="n"/>
      <c r="D31" s="24" t="n"/>
      <c r="E31" s="24" t="n"/>
      <c r="F31" s="26">
        <f>IFERROR(IF(D31&gt;0,E31/D31,0),"")</f>
        <v/>
      </c>
      <c r="G31" s="24" t="n"/>
      <c r="H31" s="24" t="n"/>
      <c r="I31" s="24" t="n"/>
      <c r="J31" s="24" t="n"/>
    </row>
    <row r="32" ht="15" customHeight="1" s="20">
      <c r="A32" s="24" t="n"/>
      <c r="B32" s="24" t="n"/>
      <c r="C32" s="24" t="n"/>
      <c r="D32" s="24" t="n"/>
      <c r="E32" s="24" t="n"/>
      <c r="F32" s="26">
        <f>IFERROR(IF(D32&gt;0,E32/D32,0),"")</f>
        <v/>
      </c>
      <c r="G32" s="24" t="n"/>
      <c r="H32" s="24" t="n"/>
      <c r="I32" s="24" t="n"/>
      <c r="J32" s="24" t="n"/>
    </row>
    <row r="33" ht="15" customHeight="1" s="20">
      <c r="A33" s="24" t="n"/>
      <c r="B33" s="24" t="n"/>
      <c r="C33" s="24" t="n"/>
      <c r="D33" s="24" t="n"/>
      <c r="E33" s="24" t="n"/>
      <c r="F33" s="26">
        <f>IFERROR(IF(D33&gt;0,E33/D33,0),"")</f>
        <v/>
      </c>
      <c r="G33" s="24" t="n"/>
      <c r="H33" s="24" t="n"/>
      <c r="I33" s="24" t="n"/>
      <c r="J33" s="24" t="n"/>
    </row>
    <row r="34" ht="15" customHeight="1" s="20">
      <c r="A34" s="24" t="n"/>
      <c r="B34" s="24" t="n"/>
      <c r="C34" s="24" t="n"/>
      <c r="D34" s="24" t="n"/>
      <c r="E34" s="24" t="n"/>
      <c r="F34" s="26">
        <f>IFERROR(IF(D34&gt;0,E34/D34,0),"")</f>
        <v/>
      </c>
      <c r="G34" s="24" t="n"/>
      <c r="H34" s="24" t="n"/>
      <c r="I34" s="24" t="n"/>
      <c r="J34" s="24" t="n"/>
    </row>
    <row r="35" ht="15" customHeight="1" s="20">
      <c r="A35" s="24" t="n"/>
      <c r="B35" s="24" t="n"/>
      <c r="C35" s="24" t="n"/>
      <c r="D35" s="24" t="n"/>
      <c r="E35" s="24" t="n"/>
      <c r="F35" s="26">
        <f>IFERROR(IF(D35&gt;0,E35/D35,0),"")</f>
        <v/>
      </c>
      <c r="G35" s="24" t="n"/>
      <c r="H35" s="24" t="n"/>
      <c r="I35" s="24" t="n"/>
      <c r="J35" s="24" t="n"/>
    </row>
    <row r="36" ht="15" customHeight="1" s="20">
      <c r="A36" s="24" t="n"/>
      <c r="B36" s="24" t="n"/>
      <c r="C36" s="24" t="n"/>
      <c r="D36" s="24" t="n"/>
      <c r="E36" s="24" t="n"/>
      <c r="F36" s="26">
        <f>IFERROR(IF(D36&gt;0,E36/D36,0),"")</f>
        <v/>
      </c>
      <c r="G36" s="24" t="n"/>
      <c r="H36" s="24" t="n"/>
      <c r="I36" s="24" t="n"/>
      <c r="J36" s="24" t="n"/>
    </row>
    <row r="37" ht="15" customHeight="1" s="20">
      <c r="A37" s="24" t="n"/>
      <c r="B37" s="24" t="n"/>
      <c r="C37" s="24" t="n"/>
      <c r="D37" s="24" t="n"/>
      <c r="E37" s="24" t="n"/>
      <c r="F37" s="26">
        <f>IFERROR(IF(D37&gt;0,E37/D37,0),"")</f>
        <v/>
      </c>
      <c r="G37" s="24" t="n"/>
      <c r="H37" s="24" t="n"/>
      <c r="I37" s="24" t="n"/>
      <c r="J37" s="24" t="n"/>
    </row>
    <row r="38" ht="15" customHeight="1" s="20">
      <c r="A38" s="24" t="n"/>
      <c r="B38" s="24" t="n"/>
      <c r="C38" s="24" t="n"/>
      <c r="D38" s="24" t="n"/>
      <c r="E38" s="24" t="n"/>
      <c r="F38" s="26">
        <f>IFERROR(IF(D38&gt;0,E38/D38,0),"")</f>
        <v/>
      </c>
      <c r="G38" s="24" t="n"/>
      <c r="H38" s="24" t="n"/>
      <c r="I38" s="24" t="n"/>
      <c r="J38" s="24" t="n"/>
    </row>
    <row r="39" ht="15" customHeight="1" s="20">
      <c r="A39" s="24" t="n"/>
      <c r="B39" s="24" t="n"/>
      <c r="C39" s="24" t="n"/>
      <c r="D39" s="24" t="n"/>
      <c r="E39" s="24" t="n"/>
      <c r="F39" s="26">
        <f>IFERROR(IF(D39&gt;0,E39/D39,0),"")</f>
        <v/>
      </c>
      <c r="G39" s="24" t="n"/>
      <c r="H39" s="24" t="n"/>
      <c r="I39" s="24" t="n"/>
      <c r="J39" s="24" t="n"/>
    </row>
    <row r="40" ht="15" customHeight="1" s="20">
      <c r="A40" s="24" t="n"/>
      <c r="B40" s="24" t="n"/>
      <c r="C40" s="24" t="n"/>
      <c r="D40" s="24" t="n"/>
      <c r="E40" s="24" t="n"/>
      <c r="F40" s="26">
        <f>IFERROR(IF(D40&gt;0,E40/D40,0),"")</f>
        <v/>
      </c>
      <c r="G40" s="24" t="n"/>
      <c r="H40" s="24" t="n"/>
      <c r="I40" s="24" t="n"/>
      <c r="J40" s="24" t="n"/>
    </row>
    <row r="41" ht="15" customHeight="1" s="20">
      <c r="A41" s="24" t="n"/>
      <c r="B41" s="24" t="n"/>
      <c r="C41" s="24" t="n"/>
      <c r="D41" s="24" t="n"/>
      <c r="E41" s="24" t="n"/>
      <c r="F41" s="26">
        <f>IFERROR(IF(D41&gt;0,E41/D41,0),"")</f>
        <v/>
      </c>
      <c r="G41" s="24" t="n"/>
      <c r="H41" s="24" t="n"/>
      <c r="I41" s="24" t="n"/>
      <c r="J41" s="24" t="n"/>
    </row>
    <row r="42" ht="15" customHeight="1" s="20">
      <c r="A42" s="24" t="n"/>
      <c r="B42" s="24" t="n"/>
      <c r="C42" s="24" t="n"/>
      <c r="D42" s="24" t="n"/>
      <c r="E42" s="24" t="n"/>
      <c r="F42" s="26">
        <f>IFERROR(IF(D42&gt;0,E42/D42,0),"")</f>
        <v/>
      </c>
      <c r="G42" s="24" t="n"/>
      <c r="H42" s="24" t="n"/>
      <c r="I42" s="24" t="n"/>
      <c r="J42" s="24" t="n"/>
    </row>
    <row r="43" ht="15" customHeight="1" s="20">
      <c r="A43" s="24" t="n"/>
      <c r="B43" s="24" t="n"/>
      <c r="C43" s="24" t="n"/>
      <c r="D43" s="24" t="n"/>
      <c r="E43" s="24" t="n"/>
      <c r="F43" s="26">
        <f>IFERROR(IF(D43&gt;0,E43/D43,0),"")</f>
        <v/>
      </c>
      <c r="G43" s="24" t="n"/>
      <c r="H43" s="24" t="n"/>
      <c r="I43" s="24" t="n"/>
      <c r="J43" s="24" t="n"/>
    </row>
    <row r="44" ht="15" customHeight="1" s="20">
      <c r="A44" s="24" t="n"/>
      <c r="B44" s="24" t="n"/>
      <c r="C44" s="24" t="n"/>
      <c r="D44" s="24" t="n"/>
      <c r="E44" s="24" t="n"/>
      <c r="F44" s="26">
        <f>IFERROR(IF(D44&gt;0,E44/D44,0),"")</f>
        <v/>
      </c>
      <c r="G44" s="24" t="n"/>
      <c r="H44" s="24" t="n"/>
      <c r="I44" s="24" t="n"/>
      <c r="J44" s="24" t="n"/>
    </row>
    <row r="45" ht="15" customHeight="1" s="20">
      <c r="A45" s="24" t="n"/>
      <c r="B45" s="24" t="n"/>
      <c r="C45" s="24" t="n"/>
      <c r="D45" s="24" t="n"/>
      <c r="E45" s="24" t="n"/>
      <c r="F45" s="26">
        <f>IFERROR(IF(D45&gt;0,E45/D45,0),"")</f>
        <v/>
      </c>
      <c r="G45" s="24" t="n"/>
      <c r="H45" s="24" t="n"/>
      <c r="I45" s="24" t="n"/>
      <c r="J45" s="24" t="n"/>
    </row>
    <row r="46" ht="15" customHeight="1" s="20">
      <c r="A46" s="24" t="n"/>
      <c r="B46" s="24" t="n"/>
      <c r="C46" s="24" t="n"/>
      <c r="D46" s="24" t="n"/>
      <c r="E46" s="24" t="n"/>
      <c r="F46" s="26">
        <f>IFERROR(IF(D46&gt;0,E46/D46,0),"")</f>
        <v/>
      </c>
      <c r="G46" s="24" t="n"/>
      <c r="H46" s="24" t="n"/>
      <c r="I46" s="24" t="n"/>
      <c r="J46" s="24" t="n"/>
    </row>
    <row r="47" ht="15" customHeight="1" s="20">
      <c r="A47" s="24" t="n"/>
      <c r="B47" s="24" t="n"/>
      <c r="C47" s="24" t="n"/>
      <c r="D47" s="24" t="n"/>
      <c r="E47" s="24" t="n"/>
      <c r="F47" s="26">
        <f>IFERROR(IF(D47&gt;0,E47/D47,0),"")</f>
        <v/>
      </c>
      <c r="G47" s="24" t="n"/>
      <c r="H47" s="24" t="n"/>
      <c r="I47" s="24" t="n"/>
      <c r="J47" s="24" t="n"/>
    </row>
    <row r="48" ht="15" customHeight="1" s="20">
      <c r="A48" s="24" t="n"/>
      <c r="B48" s="24" t="n"/>
      <c r="C48" s="24" t="n"/>
      <c r="D48" s="24" t="n"/>
      <c r="E48" s="24" t="n"/>
      <c r="F48" s="26">
        <f>IFERROR(IF(D48&gt;0,E48/D48,0),"")</f>
        <v/>
      </c>
      <c r="G48" s="24" t="n"/>
      <c r="H48" s="24" t="n"/>
      <c r="I48" s="24" t="n"/>
      <c r="J48" s="24" t="n"/>
    </row>
    <row r="49" ht="15" customHeight="1" s="20">
      <c r="A49" s="24" t="n"/>
      <c r="B49" s="24" t="n"/>
      <c r="C49" s="24" t="n"/>
      <c r="D49" s="24" t="n"/>
      <c r="E49" s="24" t="n"/>
      <c r="F49" s="26">
        <f>IFERROR(IF(D49&gt;0,E49/D49,0),"")</f>
        <v/>
      </c>
      <c r="G49" s="24" t="n"/>
      <c r="H49" s="24" t="n"/>
      <c r="I49" s="24" t="n"/>
      <c r="J49" s="24" t="n"/>
    </row>
    <row r="50" ht="15" customHeight="1" s="20">
      <c r="A50" s="24" t="n"/>
      <c r="B50" s="24" t="n"/>
      <c r="C50" s="24" t="n"/>
      <c r="D50" s="24" t="n"/>
      <c r="E50" s="24" t="n"/>
      <c r="F50" s="26">
        <f>IFERROR(IF(D50&gt;0,E50/D50,0),"")</f>
        <v/>
      </c>
      <c r="G50" s="24" t="n"/>
      <c r="H50" s="24" t="n"/>
      <c r="I50" s="24" t="n"/>
      <c r="J50" s="24" t="n"/>
    </row>
    <row r="51" ht="15" customHeight="1" s="20">
      <c r="A51" s="24" t="n"/>
      <c r="B51" s="24" t="n"/>
      <c r="C51" s="24" t="n"/>
      <c r="D51" s="24" t="n"/>
      <c r="E51" s="24" t="n"/>
      <c r="F51" s="26">
        <f>IFERROR(IF(D51&gt;0,E51/D51,0),"")</f>
        <v/>
      </c>
      <c r="G51" s="24" t="n"/>
      <c r="H51" s="24" t="n"/>
      <c r="I51" s="24" t="n"/>
      <c r="J51" s="24" t="n"/>
    </row>
    <row r="52" ht="15" customHeight="1" s="20">
      <c r="A52" s="24" t="n"/>
      <c r="B52" s="24" t="n"/>
      <c r="C52" s="24" t="n"/>
      <c r="D52" s="24" t="n"/>
      <c r="E52" s="24" t="n"/>
      <c r="F52" s="26">
        <f>IFERROR(IF(D52&gt;0,E52/D52,0),"")</f>
        <v/>
      </c>
      <c r="G52" s="24" t="n"/>
      <c r="H52" s="24" t="n"/>
      <c r="I52" s="24" t="n"/>
      <c r="J52" s="24" t="n"/>
    </row>
    <row r="53" ht="15" customHeight="1" s="20">
      <c r="A53" s="24" t="n"/>
      <c r="B53" s="24" t="n"/>
      <c r="C53" s="24" t="n"/>
      <c r="D53" s="24" t="n"/>
      <c r="E53" s="24" t="n"/>
      <c r="F53" s="26">
        <f>IFERROR(IF(D53&gt;0,E53/D53,0),"")</f>
        <v/>
      </c>
      <c r="G53" s="24" t="n"/>
      <c r="H53" s="24" t="n"/>
      <c r="I53" s="24" t="n"/>
      <c r="J53" s="24" t="n"/>
    </row>
    <row r="54" ht="15" customHeight="1" s="20">
      <c r="A54" s="24" t="n"/>
      <c r="B54" s="24" t="n"/>
      <c r="C54" s="24" t="n"/>
      <c r="D54" s="24" t="n"/>
      <c r="E54" s="24" t="n"/>
      <c r="F54" s="26">
        <f>IFERROR(IF(D54&gt;0,E54/D54,0),"")</f>
        <v/>
      </c>
      <c r="G54" s="24" t="n"/>
      <c r="H54" s="24" t="n"/>
      <c r="I54" s="24" t="n"/>
      <c r="J5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" min="1" max="1"/>
    <col width="10" customWidth="1" style="19" min="2" max="3"/>
    <col width="12" customWidth="1" style="19" min="4" max="4"/>
    <col width="14" customWidth="1" style="19" min="5" max="5"/>
    <col width="8" customWidth="1" style="19" min="6" max="6"/>
    <col width="18" customWidth="1" style="19" min="7" max="7"/>
    <col width="12" customWidth="1" style="19" min="8" max="9"/>
    <col width="15" customWidth="1" style="19" min="10" max="10"/>
  </cols>
  <sheetData>
    <row r="1" ht="17.35" customHeight="1" s="20">
      <c r="A1" s="21" t="inlineStr">
        <is>
          <t>BAYESIAN CALCULATION ENGINE</t>
        </is>
      </c>
    </row>
    <row r="2" ht="15" customHeight="1" s="20">
      <c r="A2" s="22" t="inlineStr">
        <is>
          <t>Priors, posteriors, Thompson Sampling</t>
        </is>
      </c>
    </row>
    <row r="4" ht="23.85" customHeight="1" s="20">
      <c r="A4" s="23" t="inlineStr">
        <is>
          <t>Hypothesis</t>
        </is>
      </c>
      <c r="B4" s="23" t="inlineStr">
        <is>
          <t>Current α</t>
        </is>
      </c>
      <c r="C4" s="23" t="inlineStr">
        <is>
          <t>Current β</t>
        </is>
      </c>
      <c r="D4" s="23" t="inlineStr">
        <is>
          <t>P(success)</t>
        </is>
      </c>
      <c r="E4" s="23" t="inlineStr">
        <is>
          <t>Thompson Sample</t>
        </is>
      </c>
      <c r="F4" s="23" t="inlineStr">
        <is>
          <t>Rank</t>
        </is>
      </c>
      <c r="G4" s="23" t="inlineStr">
        <is>
          <t>BETA.DIST at threshold</t>
        </is>
      </c>
      <c r="H4" s="23" t="inlineStr">
        <is>
          <t>Threshold</t>
        </is>
      </c>
      <c r="I4" s="23" t="inlineStr">
        <is>
          <t>Weeks Active</t>
        </is>
      </c>
      <c r="J4" s="23" t="inlineStr">
        <is>
          <t>Trend</t>
        </is>
      </c>
    </row>
    <row r="5" ht="15" customHeight="1" s="20">
      <c r="A5" s="24" t="inlineStr">
        <is>
          <t>H1</t>
        </is>
      </c>
      <c r="B5" s="25" t="n"/>
      <c r="C5" s="25" t="n"/>
      <c r="D5" s="26">
        <f>IFERROR(B5/(B5+C5),"")</f>
        <v/>
      </c>
      <c r="E5" s="27">
        <f>IFERROR(BETA.INV(RAND(),B5,C5),"")</f>
        <v/>
      </c>
      <c r="F5" s="24">
        <f>IFERROR(RANK(E5,E$5:E$24),"")</f>
        <v/>
      </c>
      <c r="G5" s="27">
        <f>IFERROR(BETA.DIST(H5,B5,C5,TRUE),"")</f>
        <v/>
      </c>
      <c r="H5" s="25" t="n"/>
      <c r="I5" s="24" t="n"/>
      <c r="J5" s="24" t="n"/>
    </row>
    <row r="6" ht="15" customHeight="1" s="20">
      <c r="A6" s="24" t="inlineStr">
        <is>
          <t>H2</t>
        </is>
      </c>
      <c r="B6" s="25" t="n"/>
      <c r="C6" s="25" t="n"/>
      <c r="D6" s="26">
        <f>IFERROR(B6/(B6+C6),"")</f>
        <v/>
      </c>
      <c r="E6" s="27">
        <f>IFERROR(BETA.INV(RAND(),B6,C6),"")</f>
        <v/>
      </c>
      <c r="F6" s="24">
        <f>IFERROR(RANK(E6,E$5:E$24),"")</f>
        <v/>
      </c>
      <c r="G6" s="27">
        <f>IFERROR(BETA.DIST(H6,B6,C6,TRUE),"")</f>
        <v/>
      </c>
      <c r="H6" s="25" t="n"/>
      <c r="I6" s="24" t="n"/>
      <c r="J6" s="24" t="n"/>
    </row>
    <row r="7" ht="15" customHeight="1" s="20">
      <c r="A7" s="24" t="inlineStr">
        <is>
          <t>H3</t>
        </is>
      </c>
      <c r="B7" s="25" t="n"/>
      <c r="C7" s="25" t="n"/>
      <c r="D7" s="26">
        <f>IFERROR(B7/(B7+C7),"")</f>
        <v/>
      </c>
      <c r="E7" s="27">
        <f>IFERROR(BETA.INV(RAND(),B7,C7),"")</f>
        <v/>
      </c>
      <c r="F7" s="24">
        <f>IFERROR(RANK(E7,E$5:E$24),"")</f>
        <v/>
      </c>
      <c r="G7" s="27">
        <f>IFERROR(BETA.DIST(H7,B7,C7,TRUE),"")</f>
        <v/>
      </c>
      <c r="H7" s="25" t="n"/>
      <c r="I7" s="24" t="n"/>
      <c r="J7" s="24" t="n"/>
    </row>
    <row r="8" ht="15" customHeight="1" s="20">
      <c r="A8" s="24" t="inlineStr">
        <is>
          <t>H4</t>
        </is>
      </c>
      <c r="B8" s="25" t="n"/>
      <c r="C8" s="25" t="n"/>
      <c r="D8" s="26">
        <f>IFERROR(B8/(B8+C8),"")</f>
        <v/>
      </c>
      <c r="E8" s="27">
        <f>IFERROR(BETA.INV(RAND(),B8,C8),"")</f>
        <v/>
      </c>
      <c r="F8" s="24">
        <f>IFERROR(RANK(E8,E$5:E$24),"")</f>
        <v/>
      </c>
      <c r="G8" s="27">
        <f>IFERROR(BETA.DIST(H8,B8,C8,TRUE),"")</f>
        <v/>
      </c>
      <c r="H8" s="25" t="n"/>
      <c r="I8" s="24" t="n"/>
      <c r="J8" s="24" t="n"/>
    </row>
    <row r="9" ht="15" customHeight="1" s="20">
      <c r="A9" s="24" t="inlineStr">
        <is>
          <t>H5</t>
        </is>
      </c>
      <c r="B9" s="25" t="n"/>
      <c r="C9" s="25" t="n"/>
      <c r="D9" s="26">
        <f>IFERROR(B9/(B9+C9),"")</f>
        <v/>
      </c>
      <c r="E9" s="27">
        <f>IFERROR(BETA.INV(RAND(),B9,C9),"")</f>
        <v/>
      </c>
      <c r="F9" s="24">
        <f>IFERROR(RANK(E9,E$5:E$24),"")</f>
        <v/>
      </c>
      <c r="G9" s="27">
        <f>IFERROR(BETA.DIST(H9,B9,C9,TRUE),"")</f>
        <v/>
      </c>
      <c r="H9" s="25" t="n"/>
      <c r="I9" s="24" t="n"/>
      <c r="J9" s="24" t="n"/>
    </row>
    <row r="10" ht="15" customHeight="1" s="20">
      <c r="A10" s="24" t="inlineStr">
        <is>
          <t>H6</t>
        </is>
      </c>
      <c r="B10" s="25" t="n"/>
      <c r="C10" s="25" t="n"/>
      <c r="D10" s="26">
        <f>IFERROR(B10/(B10+C10),"")</f>
        <v/>
      </c>
      <c r="E10" s="27">
        <f>IFERROR(BETA.INV(RAND(),B10,C10),"")</f>
        <v/>
      </c>
      <c r="F10" s="24">
        <f>IFERROR(RANK(E10,E$5:E$24),"")</f>
        <v/>
      </c>
      <c r="G10" s="27">
        <f>IFERROR(BETA.DIST(H10,B10,C10,TRUE),"")</f>
        <v/>
      </c>
      <c r="H10" s="25" t="n"/>
      <c r="I10" s="24" t="n"/>
      <c r="J10" s="24" t="n"/>
    </row>
    <row r="11" ht="15" customHeight="1" s="20">
      <c r="A11" s="24" t="inlineStr">
        <is>
          <t>H7</t>
        </is>
      </c>
      <c r="B11" s="25" t="n"/>
      <c r="C11" s="25" t="n"/>
      <c r="D11" s="26">
        <f>IFERROR(B11/(B11+C11),"")</f>
        <v/>
      </c>
      <c r="E11" s="27">
        <f>IFERROR(BETA.INV(RAND(),B11,C11),"")</f>
        <v/>
      </c>
      <c r="F11" s="24">
        <f>IFERROR(RANK(E11,E$5:E$24),"")</f>
        <v/>
      </c>
      <c r="G11" s="27">
        <f>IFERROR(BETA.DIST(H11,B11,C11,TRUE),"")</f>
        <v/>
      </c>
      <c r="H11" s="25" t="n"/>
      <c r="I11" s="24" t="n"/>
      <c r="J11" s="24" t="n"/>
    </row>
    <row r="12" ht="15" customHeight="1" s="20">
      <c r="A12" s="24" t="inlineStr">
        <is>
          <t>H8</t>
        </is>
      </c>
      <c r="B12" s="25" t="n"/>
      <c r="C12" s="25" t="n"/>
      <c r="D12" s="26">
        <f>IFERROR(B12/(B12+C12),"")</f>
        <v/>
      </c>
      <c r="E12" s="27">
        <f>IFERROR(BETA.INV(RAND(),B12,C12),"")</f>
        <v/>
      </c>
      <c r="F12" s="24">
        <f>IFERROR(RANK(E12,E$5:E$24),"")</f>
        <v/>
      </c>
      <c r="G12" s="27">
        <f>IFERROR(BETA.DIST(H12,B12,C12,TRUE),"")</f>
        <v/>
      </c>
      <c r="H12" s="25" t="n"/>
      <c r="I12" s="24" t="n"/>
      <c r="J12" s="24" t="n"/>
    </row>
    <row r="13" ht="15" customHeight="1" s="20">
      <c r="A13" s="24" t="inlineStr">
        <is>
          <t>H9</t>
        </is>
      </c>
      <c r="B13" s="25" t="n"/>
      <c r="C13" s="25" t="n"/>
      <c r="D13" s="26">
        <f>IFERROR(B13/(B13+C13),"")</f>
        <v/>
      </c>
      <c r="E13" s="27">
        <f>IFERROR(BETA.INV(RAND(),B13,C13),"")</f>
        <v/>
      </c>
      <c r="F13" s="24">
        <f>IFERROR(RANK(E13,E$5:E$24),"")</f>
        <v/>
      </c>
      <c r="G13" s="27">
        <f>IFERROR(BETA.DIST(H13,B13,C13,TRUE),"")</f>
        <v/>
      </c>
      <c r="H13" s="25" t="n"/>
      <c r="I13" s="24" t="n"/>
      <c r="J13" s="24" t="n"/>
    </row>
    <row r="14" ht="15" customHeight="1" s="20">
      <c r="A14" s="24" t="inlineStr">
        <is>
          <t>H10</t>
        </is>
      </c>
      <c r="B14" s="25" t="n"/>
      <c r="C14" s="25" t="n"/>
      <c r="D14" s="26">
        <f>IFERROR(B14/(B14+C14),"")</f>
        <v/>
      </c>
      <c r="E14" s="27">
        <f>IFERROR(BETA.INV(RAND(),B14,C14),"")</f>
        <v/>
      </c>
      <c r="F14" s="24">
        <f>IFERROR(RANK(E14,E$5:E$24),"")</f>
        <v/>
      </c>
      <c r="G14" s="27">
        <f>IFERROR(BETA.DIST(H14,B14,C14,TRUE),"")</f>
        <v/>
      </c>
      <c r="H14" s="25" t="n"/>
      <c r="I14" s="24" t="n"/>
      <c r="J14" s="24" t="n"/>
    </row>
    <row r="15" ht="15" customHeight="1" s="20">
      <c r="A15" s="24" t="inlineStr">
        <is>
          <t>H11</t>
        </is>
      </c>
      <c r="B15" s="25" t="n"/>
      <c r="C15" s="25" t="n"/>
      <c r="D15" s="26">
        <f>IFERROR(B15/(B15+C15),"")</f>
        <v/>
      </c>
      <c r="E15" s="27">
        <f>IFERROR(BETA.INV(RAND(),B15,C15),"")</f>
        <v/>
      </c>
      <c r="F15" s="24">
        <f>IFERROR(RANK(E15,E$5:E$24),"")</f>
        <v/>
      </c>
      <c r="G15" s="27">
        <f>IFERROR(BETA.DIST(H15,B15,C15,TRUE),"")</f>
        <v/>
      </c>
      <c r="H15" s="25" t="n"/>
      <c r="I15" s="24" t="n"/>
      <c r="J15" s="24" t="n"/>
    </row>
    <row r="16" ht="15" customHeight="1" s="20">
      <c r="A16" s="24" t="inlineStr">
        <is>
          <t>H12</t>
        </is>
      </c>
      <c r="B16" s="25" t="n"/>
      <c r="C16" s="25" t="n"/>
      <c r="D16" s="26">
        <f>IFERROR(B16/(B16+C16),"")</f>
        <v/>
      </c>
      <c r="E16" s="27">
        <f>IFERROR(BETA.INV(RAND(),B16,C16),"")</f>
        <v/>
      </c>
      <c r="F16" s="24">
        <f>IFERROR(RANK(E16,E$5:E$24),"")</f>
        <v/>
      </c>
      <c r="G16" s="27">
        <f>IFERROR(BETA.DIST(H16,B16,C16,TRUE),"")</f>
        <v/>
      </c>
      <c r="H16" s="25" t="n"/>
      <c r="I16" s="24" t="n"/>
      <c r="J16" s="24" t="n"/>
    </row>
    <row r="17" ht="15" customHeight="1" s="20">
      <c r="A17" s="24" t="inlineStr">
        <is>
          <t>H13</t>
        </is>
      </c>
      <c r="B17" s="25" t="n"/>
      <c r="C17" s="25" t="n"/>
      <c r="D17" s="26">
        <f>IFERROR(B17/(B17+C17),"")</f>
        <v/>
      </c>
      <c r="E17" s="27">
        <f>IFERROR(BETA.INV(RAND(),B17,C17),"")</f>
        <v/>
      </c>
      <c r="F17" s="24">
        <f>IFERROR(RANK(E17,E$5:E$24),"")</f>
        <v/>
      </c>
      <c r="G17" s="27">
        <f>IFERROR(BETA.DIST(H17,B17,C17,TRUE),"")</f>
        <v/>
      </c>
      <c r="H17" s="25" t="n"/>
      <c r="I17" s="24" t="n"/>
      <c r="J17" s="24" t="n"/>
    </row>
    <row r="18" ht="15" customHeight="1" s="20">
      <c r="A18" s="24" t="inlineStr">
        <is>
          <t>H14</t>
        </is>
      </c>
      <c r="B18" s="25" t="n"/>
      <c r="C18" s="25" t="n"/>
      <c r="D18" s="26">
        <f>IFERROR(B18/(B18+C18),"")</f>
        <v/>
      </c>
      <c r="E18" s="27">
        <f>IFERROR(BETA.INV(RAND(),B18,C18),"")</f>
        <v/>
      </c>
      <c r="F18" s="24">
        <f>IFERROR(RANK(E18,E$5:E$24),"")</f>
        <v/>
      </c>
      <c r="G18" s="27">
        <f>IFERROR(BETA.DIST(H18,B18,C18,TRUE),"")</f>
        <v/>
      </c>
      <c r="H18" s="25" t="n"/>
      <c r="I18" s="24" t="n"/>
      <c r="J18" s="24" t="n"/>
    </row>
    <row r="19" ht="15" customHeight="1" s="20">
      <c r="A19" s="24" t="inlineStr">
        <is>
          <t>H15</t>
        </is>
      </c>
      <c r="B19" s="25" t="n"/>
      <c r="C19" s="25" t="n"/>
      <c r="D19" s="26">
        <f>IFERROR(B19/(B19+C19),"")</f>
        <v/>
      </c>
      <c r="E19" s="27">
        <f>IFERROR(BETA.INV(RAND(),B19,C19),"")</f>
        <v/>
      </c>
      <c r="F19" s="24">
        <f>IFERROR(RANK(E19,E$5:E$24),"")</f>
        <v/>
      </c>
      <c r="G19" s="27">
        <f>IFERROR(BETA.DIST(H19,B19,C19,TRUE),"")</f>
        <v/>
      </c>
      <c r="H19" s="25" t="n"/>
      <c r="I19" s="24" t="n"/>
      <c r="J19" s="24" t="n"/>
    </row>
    <row r="20" ht="15" customHeight="1" s="20">
      <c r="A20" s="24" t="inlineStr">
        <is>
          <t>H16</t>
        </is>
      </c>
      <c r="B20" s="25" t="n"/>
      <c r="C20" s="25" t="n"/>
      <c r="D20" s="26">
        <f>IFERROR(B20/(B20+C20),"")</f>
        <v/>
      </c>
      <c r="E20" s="27">
        <f>IFERROR(BETA.INV(RAND(),B20,C20),"")</f>
        <v/>
      </c>
      <c r="F20" s="24">
        <f>IFERROR(RANK(E20,E$5:E$24),"")</f>
        <v/>
      </c>
      <c r="G20" s="27">
        <f>IFERROR(BETA.DIST(H20,B20,C20,TRUE),"")</f>
        <v/>
      </c>
      <c r="H20" s="25" t="n"/>
      <c r="I20" s="24" t="n"/>
      <c r="J20" s="24" t="n"/>
    </row>
    <row r="21" ht="15" customHeight="1" s="20">
      <c r="A21" s="24" t="inlineStr">
        <is>
          <t>H17</t>
        </is>
      </c>
      <c r="B21" s="25" t="n"/>
      <c r="C21" s="25" t="n"/>
      <c r="D21" s="26">
        <f>IFERROR(B21/(B21+C21),"")</f>
        <v/>
      </c>
      <c r="E21" s="27">
        <f>IFERROR(BETA.INV(RAND(),B21,C21),"")</f>
        <v/>
      </c>
      <c r="F21" s="24">
        <f>IFERROR(RANK(E21,E$5:E$24),"")</f>
        <v/>
      </c>
      <c r="G21" s="27">
        <f>IFERROR(BETA.DIST(H21,B21,C21,TRUE),"")</f>
        <v/>
      </c>
      <c r="H21" s="25" t="n"/>
      <c r="I21" s="24" t="n"/>
      <c r="J21" s="24" t="n"/>
    </row>
    <row r="22" ht="15" customHeight="1" s="20">
      <c r="A22" s="24" t="inlineStr">
        <is>
          <t>H18</t>
        </is>
      </c>
      <c r="B22" s="25" t="n"/>
      <c r="C22" s="25" t="n"/>
      <c r="D22" s="26">
        <f>IFERROR(B22/(B22+C22),"")</f>
        <v/>
      </c>
      <c r="E22" s="27">
        <f>IFERROR(BETA.INV(RAND(),B22,C22),"")</f>
        <v/>
      </c>
      <c r="F22" s="24">
        <f>IFERROR(RANK(E22,E$5:E$24),"")</f>
        <v/>
      </c>
      <c r="G22" s="27">
        <f>IFERROR(BETA.DIST(H22,B22,C22,TRUE),"")</f>
        <v/>
      </c>
      <c r="H22" s="25" t="n"/>
      <c r="I22" s="24" t="n"/>
      <c r="J22" s="24" t="n"/>
    </row>
    <row r="23" ht="15" customHeight="1" s="20">
      <c r="A23" s="24" t="inlineStr">
        <is>
          <t>H19</t>
        </is>
      </c>
      <c r="B23" s="25" t="n"/>
      <c r="C23" s="25" t="n"/>
      <c r="D23" s="26">
        <f>IFERROR(B23/(B23+C23),"")</f>
        <v/>
      </c>
      <c r="E23" s="27">
        <f>IFERROR(BETA.INV(RAND(),B23,C23),"")</f>
        <v/>
      </c>
      <c r="F23" s="24">
        <f>IFERROR(RANK(E23,E$5:E$24),"")</f>
        <v/>
      </c>
      <c r="G23" s="27">
        <f>IFERROR(BETA.DIST(H23,B23,C23,TRUE),"")</f>
        <v/>
      </c>
      <c r="H23" s="25" t="n"/>
      <c r="I23" s="24" t="n"/>
      <c r="J23" s="24" t="n"/>
    </row>
    <row r="24" ht="15" customHeight="1" s="20">
      <c r="A24" s="24" t="inlineStr">
        <is>
          <t>H20</t>
        </is>
      </c>
      <c r="B24" s="25" t="n"/>
      <c r="C24" s="25" t="n"/>
      <c r="D24" s="26">
        <f>IFERROR(B24/(B24+C24),"")</f>
        <v/>
      </c>
      <c r="E24" s="27">
        <f>IFERROR(BETA.INV(RAND(),B24,C24),"")</f>
        <v/>
      </c>
      <c r="F24" s="24">
        <f>IFERROR(RANK(E24,E$5:E$24),"")</f>
        <v/>
      </c>
      <c r="G24" s="27">
        <f>IFERROR(BETA.DIST(H24,B24,C24,TRUE),"")</f>
        <v/>
      </c>
      <c r="H24" s="25" t="n"/>
      <c r="I24" s="24" t="n"/>
      <c r="J2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9" min="1" max="1"/>
    <col width="15" customWidth="1" style="19" min="2" max="3"/>
    <col width="5" customWidth="1" style="19" min="4" max="4"/>
    <col width="25" customWidth="1" style="19" min="5" max="5"/>
    <col width="15" customWidth="1" style="19" min="6" max="6"/>
    <col width="10" customWidth="1" style="19" min="7" max="7"/>
    <col width="15" customWidth="1" style="19" min="8" max="9"/>
  </cols>
  <sheetData>
    <row r="1" ht="17.35" customHeight="1" s="20">
      <c r="A1" s="21" t="inlineStr">
        <is>
          <t>ENTROPY CONVERGENCE</t>
        </is>
      </c>
    </row>
    <row r="2" ht="15" customHeight="1" s="20">
      <c r="A2" s="22" t="inlineStr">
        <is>
          <t>Phase 2: Stop when H_norm &lt; 0.15 or D_KL &lt; 0.01</t>
        </is>
      </c>
    </row>
    <row r="4" ht="15" customHeight="1" s="20">
      <c r="A4" s="28" t="inlineStr">
        <is>
          <t>ALTERNATIVES PROBABILITY DISTRIBUTION</t>
        </is>
      </c>
    </row>
    <row r="5" ht="15" customHeight="1" s="20">
      <c r="A5" s="29" t="inlineStr">
        <is>
          <t>Alternative</t>
        </is>
      </c>
      <c r="B5" s="29" t="inlineStr">
        <is>
          <t>P(current)</t>
        </is>
      </c>
      <c r="C5" s="29" t="inlineStr">
        <is>
          <t>P(previous)</t>
        </is>
      </c>
    </row>
    <row r="6" ht="15" customHeight="1" s="20">
      <c r="A6" s="24" t="inlineStr">
        <is>
          <t>Alt 1</t>
        </is>
      </c>
      <c r="B6" s="25" t="n"/>
      <c r="C6" s="25" t="n"/>
    </row>
    <row r="7" ht="15" customHeight="1" s="20">
      <c r="A7" s="24" t="inlineStr">
        <is>
          <t>Alt 2</t>
        </is>
      </c>
      <c r="B7" s="25" t="n"/>
      <c r="C7" s="25" t="n"/>
    </row>
    <row r="8" ht="15" customHeight="1" s="20">
      <c r="A8" s="24" t="inlineStr">
        <is>
          <t>Alt 3</t>
        </is>
      </c>
      <c r="B8" s="25" t="n"/>
      <c r="C8" s="25" t="n"/>
    </row>
    <row r="9" ht="15" customHeight="1" s="20">
      <c r="A9" s="24" t="inlineStr">
        <is>
          <t>Alt 4</t>
        </is>
      </c>
      <c r="B9" s="25" t="n"/>
      <c r="C9" s="25" t="n"/>
    </row>
    <row r="10" ht="15" customHeight="1" s="20">
      <c r="A10" s="24" t="inlineStr">
        <is>
          <t>Alt 5</t>
        </is>
      </c>
      <c r="B10" s="25" t="n"/>
      <c r="C10" s="25" t="n"/>
    </row>
    <row r="11" ht="15" customHeight="1" s="20">
      <c r="A11" s="24" t="inlineStr">
        <is>
          <t>Alt 6</t>
        </is>
      </c>
      <c r="B11" s="25" t="n"/>
      <c r="C11" s="25" t="n"/>
    </row>
    <row r="12" ht="15" customHeight="1" s="20">
      <c r="A12" s="24" t="inlineStr">
        <is>
          <t>Alt 7</t>
        </is>
      </c>
      <c r="B12" s="25" t="n"/>
      <c r="C12" s="25" t="n"/>
    </row>
    <row r="13" ht="15" customHeight="1" s="20">
      <c r="A13" s="24" t="inlineStr">
        <is>
          <t>Alt 8</t>
        </is>
      </c>
      <c r="B13" s="25" t="n"/>
      <c r="C13" s="25" t="n"/>
    </row>
    <row r="14" ht="15" customHeight="1" s="20">
      <c r="A14" s="24" t="inlineStr">
        <is>
          <t>Alt 9</t>
        </is>
      </c>
      <c r="B14" s="25" t="n"/>
      <c r="C14" s="25" t="n"/>
    </row>
    <row r="15" ht="15" customHeight="1" s="20">
      <c r="A15" s="24" t="inlineStr">
        <is>
          <t>Alt 10</t>
        </is>
      </c>
      <c r="B15" s="25" t="n"/>
      <c r="C15" s="25" t="n"/>
    </row>
    <row r="18" ht="15" customHeight="1" s="20">
      <c r="A18" s="28" t="inlineStr">
        <is>
          <t>CONVERGENCE METRICS</t>
        </is>
      </c>
    </row>
    <row r="19" ht="15" customHeight="1" s="20">
      <c r="A19" s="30" t="inlineStr">
        <is>
          <t>n (alternatives)</t>
        </is>
      </c>
      <c r="B19" s="24">
        <f>COUNTA(A6:A15)</f>
        <v/>
      </c>
    </row>
    <row r="20" ht="15" customHeight="1" s="20">
      <c r="A20" s="30" t="inlineStr">
        <is>
          <t>H(P) raw entropy</t>
        </is>
      </c>
      <c r="B20" s="24">
        <f>IFERROR(-SUMPRODUCT(B6:B15,LOG(B6:B15,2)),"")</f>
        <v/>
      </c>
    </row>
    <row r="21" ht="15" customHeight="1" s="20">
      <c r="A21" s="30" t="inlineStr">
        <is>
          <t>H_norm (normalized)</t>
        </is>
      </c>
      <c r="B21" s="27">
        <f>IFERROR(B20/LOG(B19,2),"")</f>
        <v/>
      </c>
    </row>
    <row r="22" ht="15" customHeight="1" s="20">
      <c r="A22" s="30" t="inlineStr">
        <is>
          <t>D_KL (vs previous)</t>
        </is>
      </c>
      <c r="B22" s="31">
        <f>IFERROR(SUMPRODUCT(B6:B15,LOG(B6:B15/C6:C15,2)),"")</f>
        <v/>
      </c>
    </row>
    <row r="23" ht="15" customHeight="1" s="20">
      <c r="A23" s="30" t="inlineStr">
        <is>
          <t>STOP?</t>
        </is>
      </c>
      <c r="B23" s="24">
        <f>IF(B21="","Enter probabilities first",IF(B21&lt;0.15,"YES: H_norm &lt; 0.15",IF(B22&lt;0.01,"YES: D_KL &lt; 0.01","NO: Continue")))</f>
        <v/>
      </c>
    </row>
    <row r="25" ht="15" customHeight="1" s="20">
      <c r="A25" s="28" t="inlineStr">
        <is>
          <t>ENTROPY LOG (after each framework)</t>
        </is>
      </c>
    </row>
    <row r="26" ht="23.85" customHeight="1" s="20">
      <c r="A26" s="29" t="inlineStr">
        <is>
          <t>Framework Applied</t>
        </is>
      </c>
      <c r="B26" s="29" t="inlineStr">
        <is>
          <t>H_norm</t>
        </is>
      </c>
      <c r="C26" s="29" t="inlineStr">
        <is>
          <t>ΔH</t>
        </is>
      </c>
      <c r="D26" s="29" t="inlineStr">
        <is>
          <t>D_KL</t>
        </is>
      </c>
      <c r="E26" s="29" t="inlineStr">
        <is>
          <t>Action</t>
        </is>
      </c>
    </row>
    <row r="27" ht="15" customHeight="1" s="20">
      <c r="A27" s="24" t="n"/>
      <c r="B27" s="24" t="n"/>
      <c r="C27" s="24" t="n"/>
      <c r="D27" s="24" t="n"/>
      <c r="E27" s="24" t="n"/>
    </row>
    <row r="28" ht="15" customHeight="1" s="20">
      <c r="A28" s="24" t="n"/>
      <c r="B28" s="24" t="n"/>
      <c r="C28" s="24" t="n"/>
      <c r="D28" s="24" t="n"/>
      <c r="E28" s="24" t="n"/>
    </row>
    <row r="29" ht="15" customHeight="1" s="20">
      <c r="A29" s="24" t="n"/>
      <c r="B29" s="24" t="n"/>
      <c r="C29" s="24" t="n"/>
      <c r="D29" s="24" t="n"/>
      <c r="E29" s="24" t="n"/>
    </row>
    <row r="30" ht="15" customHeight="1" s="20">
      <c r="A30" s="24" t="n"/>
      <c r="B30" s="24" t="n"/>
      <c r="C30" s="24" t="n"/>
      <c r="D30" s="24" t="n"/>
      <c r="E30" s="24" t="n"/>
    </row>
    <row r="31" ht="15" customHeight="1" s="20">
      <c r="A31" s="24" t="n"/>
      <c r="B31" s="24" t="n"/>
      <c r="C31" s="24" t="n"/>
      <c r="D31" s="24" t="n"/>
      <c r="E31" s="24" t="n"/>
    </row>
    <row r="32" ht="15" customHeight="1" s="20">
      <c r="A32" s="24" t="n"/>
      <c r="B32" s="24" t="n"/>
      <c r="C32" s="24" t="n"/>
      <c r="D32" s="24" t="n"/>
      <c r="E32" s="24" t="n"/>
    </row>
    <row r="33" ht="15" customHeight="1" s="20">
      <c r="A33" s="24" t="n"/>
      <c r="B33" s="24" t="n"/>
      <c r="C33" s="24" t="n"/>
      <c r="D33" s="24" t="n"/>
      <c r="E33" s="24" t="n"/>
    </row>
    <row r="34" ht="15" customHeight="1" s="20">
      <c r="A34" s="24" t="n"/>
      <c r="B34" s="24" t="n"/>
      <c r="C34" s="24" t="n"/>
      <c r="D34" s="24" t="n"/>
      <c r="E34" s="24" t="n"/>
    </row>
    <row r="35" ht="15" customHeight="1" s="20">
      <c r="A35" s="24" t="n"/>
      <c r="B35" s="24" t="n"/>
      <c r="C35" s="24" t="n"/>
      <c r="D35" s="24" t="n"/>
      <c r="E35" s="24" t="n"/>
    </row>
    <row r="36" ht="15" customHeight="1" s="20">
      <c r="A36" s="24" t="n"/>
      <c r="B36" s="24" t="n"/>
      <c r="C36" s="24" t="n"/>
      <c r="D36" s="24" t="n"/>
      <c r="E36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" min="1" max="1"/>
    <col width="10" customWidth="1" style="19" min="2" max="2"/>
    <col width="14" customWidth="1" style="19" min="3" max="3"/>
    <col width="12" customWidth="1" style="19" min="4" max="6"/>
    <col width="14" customWidth="1" style="19" min="7" max="7"/>
    <col width="10" customWidth="1" style="19" min="8" max="8"/>
    <col width="18" customWidth="1" style="19" min="9" max="9"/>
    <col width="12" customWidth="1" style="19" min="10" max="10"/>
    <col width="18" customWidth="1" style="19" min="11" max="11"/>
  </cols>
  <sheetData>
    <row r="1" ht="17.35" customHeight="1" s="20">
      <c r="A1" s="21" t="inlineStr">
        <is>
          <t>GROUP SEQUENTIAL MONITORING</t>
        </is>
      </c>
    </row>
    <row r="2" ht="15" customHeight="1" s="20">
      <c r="A2" s="22" t="inlineStr">
        <is>
          <t>O'Brien-Fleming boundaries at α = 0.05</t>
        </is>
      </c>
    </row>
    <row r="4" ht="15" customHeight="1" s="20">
      <c r="A4" s="28" t="inlineStr">
        <is>
          <t>BOUNDARY TABLE (5-look OBF)</t>
        </is>
      </c>
    </row>
    <row r="5" ht="23.85" customHeight="1" s="20">
      <c r="A5" s="29" t="inlineStr">
        <is>
          <t>Look #</t>
        </is>
      </c>
      <c r="B5" s="29" t="inlineStr">
        <is>
          <t>Info Fraction (t)</t>
        </is>
      </c>
      <c r="C5" s="29" t="inlineStr">
        <is>
          <t>z-boundary</t>
        </is>
      </c>
      <c r="D5" s="29" t="inlineStr">
        <is>
          <t>Interpretation</t>
        </is>
      </c>
    </row>
    <row r="6" ht="46.25" customHeight="1" s="20">
      <c r="A6" s="32" t="n">
        <v>1</v>
      </c>
      <c r="B6" s="32" t="n">
        <v>0.2</v>
      </c>
      <c r="C6" s="32" t="n">
        <v>4.56</v>
      </c>
      <c r="D6" s="32" t="inlineStr">
        <is>
          <t>Extremely strong evidence to stop early</t>
        </is>
      </c>
    </row>
    <row r="7" ht="23.85" customHeight="1" s="20">
      <c r="A7" s="32" t="n">
        <v>2</v>
      </c>
      <c r="B7" s="32" t="n">
        <v>0.4</v>
      </c>
      <c r="C7" s="32" t="n">
        <v>3.23</v>
      </c>
      <c r="D7" s="32" t="inlineStr">
        <is>
          <t>Very strong evidence</t>
        </is>
      </c>
    </row>
    <row r="8" ht="23.85" customHeight="1" s="20">
      <c r="A8" s="32" t="n">
        <v>3</v>
      </c>
      <c r="B8" s="32" t="n">
        <v>0.6</v>
      </c>
      <c r="C8" s="32" t="n">
        <v>2.63</v>
      </c>
      <c r="D8" s="32" t="inlineStr">
        <is>
          <t>Strong evidence</t>
        </is>
      </c>
    </row>
    <row r="9" ht="35.05" customHeight="1" s="20">
      <c r="A9" s="32" t="n">
        <v>4</v>
      </c>
      <c r="B9" s="32" t="n">
        <v>0.8</v>
      </c>
      <c r="C9" s="32" t="n">
        <v>2.28</v>
      </c>
      <c r="D9" s="32" t="inlineStr">
        <is>
          <t>Moderate-strong evidence</t>
        </is>
      </c>
    </row>
    <row r="10" ht="23.85" customHeight="1" s="20">
      <c r="A10" s="32" t="n">
        <v>5</v>
      </c>
      <c r="B10" s="32" t="n">
        <v>1</v>
      </c>
      <c r="C10" s="32" t="n">
        <v>2.04</v>
      </c>
      <c r="D10" s="32" t="inlineStr">
        <is>
          <t>Standard significance</t>
        </is>
      </c>
    </row>
    <row r="13" ht="15" customHeight="1" s="20">
      <c r="A13" s="28" t="inlineStr">
        <is>
          <t>MONITORING LOG</t>
        </is>
      </c>
    </row>
    <row r="14" ht="15" customHeight="1" s="20">
      <c r="A14" s="29" t="inlineStr">
        <is>
          <t>Hypothesis</t>
        </is>
      </c>
      <c r="B14" s="29" t="inlineStr">
        <is>
          <t>Look #</t>
        </is>
      </c>
      <c r="C14" s="29" t="inlineStr">
        <is>
          <t>Info Fraction</t>
        </is>
      </c>
      <c r="D14" s="29" t="inlineStr">
        <is>
          <t>Observed z</t>
        </is>
      </c>
      <c r="E14" s="29" t="inlineStr">
        <is>
          <t>z-boundary</t>
        </is>
      </c>
      <c r="F14" s="29" t="inlineStr">
        <is>
          <t>Crossed?</t>
        </is>
      </c>
      <c r="G14" s="29" t="inlineStr">
        <is>
          <t>Cond. Power</t>
        </is>
      </c>
      <c r="H14" s="29" t="inlineStr">
        <is>
          <t>Futile?</t>
        </is>
      </c>
      <c r="I14" s="29" t="inlineStr">
        <is>
          <t>Action</t>
        </is>
      </c>
    </row>
    <row r="15" ht="15" customHeight="1" s="20">
      <c r="A15" s="24" t="n"/>
      <c r="B15" s="24" t="n"/>
      <c r="C15" s="24" t="n"/>
      <c r="D15" s="25" t="n"/>
      <c r="E15" s="24" t="n"/>
      <c r="F15" s="24">
        <f>IF(D15&gt;E15,"YES","NO")</f>
        <v/>
      </c>
      <c r="G15" s="25" t="n"/>
      <c r="H15" s="24">
        <f>IF(G15&lt;0.15,"YES","NO")</f>
        <v/>
      </c>
      <c r="I15" s="24">
        <f>IF(F15="YES","CONFIRM",IF(H15="YES","FUTILITY STOP","CONTINUE"))</f>
        <v/>
      </c>
    </row>
    <row r="16" ht="15" customHeight="1" s="20">
      <c r="A16" s="24" t="n"/>
      <c r="B16" s="24" t="n"/>
      <c r="C16" s="24" t="n"/>
      <c r="D16" s="25" t="n"/>
      <c r="E16" s="24" t="n"/>
      <c r="F16" s="24">
        <f>IF(D16&gt;E16,"YES","NO")</f>
        <v/>
      </c>
      <c r="G16" s="25" t="n"/>
      <c r="H16" s="24">
        <f>IF(G16&lt;0.15,"YES","NO")</f>
        <v/>
      </c>
      <c r="I16" s="24">
        <f>IF(F16="YES","CONFIRM",IF(H16="YES","FUTILITY STOP","CONTINUE"))</f>
        <v/>
      </c>
    </row>
    <row r="17" ht="15" customHeight="1" s="20">
      <c r="A17" s="24" t="n"/>
      <c r="B17" s="24" t="n"/>
      <c r="C17" s="24" t="n"/>
      <c r="D17" s="25" t="n"/>
      <c r="E17" s="24" t="n"/>
      <c r="F17" s="24">
        <f>IF(D17&gt;E17,"YES","NO")</f>
        <v/>
      </c>
      <c r="G17" s="25" t="n"/>
      <c r="H17" s="24">
        <f>IF(G17&lt;0.15,"YES","NO")</f>
        <v/>
      </c>
      <c r="I17" s="24">
        <f>IF(F17="YES","CONFIRM",IF(H17="YES","FUTILITY STOP","CONTINUE"))</f>
        <v/>
      </c>
    </row>
    <row r="18" ht="15" customHeight="1" s="20">
      <c r="A18" s="24" t="n"/>
      <c r="B18" s="24" t="n"/>
      <c r="C18" s="24" t="n"/>
      <c r="D18" s="25" t="n"/>
      <c r="E18" s="24" t="n"/>
      <c r="F18" s="24">
        <f>IF(D18&gt;E18,"YES","NO")</f>
        <v/>
      </c>
      <c r="G18" s="25" t="n"/>
      <c r="H18" s="24">
        <f>IF(G18&lt;0.15,"YES","NO")</f>
        <v/>
      </c>
      <c r="I18" s="24">
        <f>IF(F18="YES","CONFIRM",IF(H18="YES","FUTILITY STOP","CONTINUE"))</f>
        <v/>
      </c>
    </row>
    <row r="19" ht="15" customHeight="1" s="20">
      <c r="A19" s="24" t="n"/>
      <c r="B19" s="24" t="n"/>
      <c r="C19" s="24" t="n"/>
      <c r="D19" s="25" t="n"/>
      <c r="E19" s="24" t="n"/>
      <c r="F19" s="24">
        <f>IF(D19&gt;E19,"YES","NO")</f>
        <v/>
      </c>
      <c r="G19" s="25" t="n"/>
      <c r="H19" s="24">
        <f>IF(G19&lt;0.15,"YES","NO")</f>
        <v/>
      </c>
      <c r="I19" s="24">
        <f>IF(F19="YES","CONFIRM",IF(H19="YES","FUTILITY STOP","CONTINUE"))</f>
        <v/>
      </c>
    </row>
    <row r="20" ht="15" customHeight="1" s="20">
      <c r="A20" s="24" t="n"/>
      <c r="B20" s="24" t="n"/>
      <c r="C20" s="24" t="n"/>
      <c r="D20" s="25" t="n"/>
      <c r="E20" s="24" t="n"/>
      <c r="F20" s="24">
        <f>IF(D20&gt;E20,"YES","NO")</f>
        <v/>
      </c>
      <c r="G20" s="25" t="n"/>
      <c r="H20" s="24">
        <f>IF(G20&lt;0.15,"YES","NO")</f>
        <v/>
      </c>
      <c r="I20" s="24">
        <f>IF(F20="YES","CONFIRM",IF(H20="YES","FUTILITY STOP","CONTINUE"))</f>
        <v/>
      </c>
    </row>
    <row r="21" ht="15" customHeight="1" s="20">
      <c r="A21" s="24" t="n"/>
      <c r="B21" s="24" t="n"/>
      <c r="C21" s="24" t="n"/>
      <c r="D21" s="25" t="n"/>
      <c r="E21" s="24" t="n"/>
      <c r="F21" s="24">
        <f>IF(D21&gt;E21,"YES","NO")</f>
        <v/>
      </c>
      <c r="G21" s="25" t="n"/>
      <c r="H21" s="24">
        <f>IF(G21&lt;0.15,"YES","NO")</f>
        <v/>
      </c>
      <c r="I21" s="24">
        <f>IF(F21="YES","CONFIRM",IF(H21="YES","FUTILITY STOP","CONTINUE"))</f>
        <v/>
      </c>
    </row>
    <row r="22" ht="15" customHeight="1" s="20">
      <c r="A22" s="24" t="n"/>
      <c r="B22" s="24" t="n"/>
      <c r="C22" s="24" t="n"/>
      <c r="D22" s="25" t="n"/>
      <c r="E22" s="24" t="n"/>
      <c r="F22" s="24">
        <f>IF(D22&gt;E22,"YES","NO")</f>
        <v/>
      </c>
      <c r="G22" s="25" t="n"/>
      <c r="H22" s="24">
        <f>IF(G22&lt;0.15,"YES","NO")</f>
        <v/>
      </c>
      <c r="I22" s="24">
        <f>IF(F22="YES","CONFIRM",IF(H22="YES","FUTILITY STOP","CONTINUE"))</f>
        <v/>
      </c>
    </row>
    <row r="23" ht="15" customHeight="1" s="20">
      <c r="A23" s="24" t="n"/>
      <c r="B23" s="24" t="n"/>
      <c r="C23" s="24" t="n"/>
      <c r="D23" s="25" t="n"/>
      <c r="E23" s="24" t="n"/>
      <c r="F23" s="24">
        <f>IF(D23&gt;E23,"YES","NO")</f>
        <v/>
      </c>
      <c r="G23" s="25" t="n"/>
      <c r="H23" s="24">
        <f>IF(G23&lt;0.15,"YES","NO")</f>
        <v/>
      </c>
      <c r="I23" s="24">
        <f>IF(F23="YES","CONFIRM",IF(H23="YES","FUTILITY STOP","CONTINUE"))</f>
        <v/>
      </c>
    </row>
    <row r="24" ht="15" customHeight="1" s="20">
      <c r="A24" s="24" t="n"/>
      <c r="B24" s="24" t="n"/>
      <c r="C24" s="24" t="n"/>
      <c r="D24" s="25" t="n"/>
      <c r="E24" s="24" t="n"/>
      <c r="F24" s="24">
        <f>IF(D24&gt;E24,"YES","NO")</f>
        <v/>
      </c>
      <c r="G24" s="25" t="n"/>
      <c r="H24" s="24">
        <f>IF(G24&lt;0.15,"YES","NO")</f>
        <v/>
      </c>
      <c r="I24" s="24">
        <f>IF(F24="YES","CONFIRM",IF(H24="YES","FUTILITY STOP","CONTINUE"))</f>
        <v/>
      </c>
    </row>
    <row r="25" ht="15" customHeight="1" s="20">
      <c r="A25" s="24" t="n"/>
      <c r="B25" s="24" t="n"/>
      <c r="C25" s="24" t="n"/>
      <c r="D25" s="25" t="n"/>
      <c r="E25" s="24" t="n"/>
      <c r="F25" s="24">
        <f>IF(D25&gt;E25,"YES","NO")</f>
        <v/>
      </c>
      <c r="G25" s="25" t="n"/>
      <c r="H25" s="24">
        <f>IF(G25&lt;0.15,"YES","NO")</f>
        <v/>
      </c>
      <c r="I25" s="24">
        <f>IF(F25="YES","CONFIRM",IF(H25="YES","FUTILITY STOP","CONTINUE"))</f>
        <v/>
      </c>
    </row>
    <row r="26" ht="15" customHeight="1" s="20">
      <c r="A26" s="24" t="n"/>
      <c r="B26" s="24" t="n"/>
      <c r="C26" s="24" t="n"/>
      <c r="D26" s="25" t="n"/>
      <c r="E26" s="24" t="n"/>
      <c r="F26" s="24">
        <f>IF(D26&gt;E26,"YES","NO")</f>
        <v/>
      </c>
      <c r="G26" s="25" t="n"/>
      <c r="H26" s="24">
        <f>IF(G26&lt;0.15,"YES","NO")</f>
        <v/>
      </c>
      <c r="I26" s="24">
        <f>IF(F26="YES","CONFIRM",IF(H26="YES","FUTILITY STOP","CONTINUE"))</f>
        <v/>
      </c>
    </row>
    <row r="27" ht="15" customHeight="1" s="20">
      <c r="A27" s="24" t="n"/>
      <c r="B27" s="24" t="n"/>
      <c r="C27" s="24" t="n"/>
      <c r="D27" s="25" t="n"/>
      <c r="E27" s="24" t="n"/>
      <c r="F27" s="24">
        <f>IF(D27&gt;E27,"YES","NO")</f>
        <v/>
      </c>
      <c r="G27" s="25" t="n"/>
      <c r="H27" s="24">
        <f>IF(G27&lt;0.15,"YES","NO")</f>
        <v/>
      </c>
      <c r="I27" s="24">
        <f>IF(F27="YES","CONFIRM",IF(H27="YES","FUTILITY STOP","CONTINUE"))</f>
        <v/>
      </c>
    </row>
    <row r="28" ht="15" customHeight="1" s="20">
      <c r="A28" s="24" t="n"/>
      <c r="B28" s="24" t="n"/>
      <c r="C28" s="24" t="n"/>
      <c r="D28" s="25" t="n"/>
      <c r="E28" s="24" t="n"/>
      <c r="F28" s="24">
        <f>IF(D28&gt;E28,"YES","NO")</f>
        <v/>
      </c>
      <c r="G28" s="25" t="n"/>
      <c r="H28" s="24">
        <f>IF(G28&lt;0.15,"YES","NO")</f>
        <v/>
      </c>
      <c r="I28" s="24">
        <f>IF(F28="YES","CONFIRM",IF(H28="YES","FUTILITY STOP","CONTINUE"))</f>
        <v/>
      </c>
    </row>
    <row r="29" ht="15" customHeight="1" s="20">
      <c r="A29" s="24" t="n"/>
      <c r="B29" s="24" t="n"/>
      <c r="C29" s="24" t="n"/>
      <c r="D29" s="25" t="n"/>
      <c r="E29" s="24" t="n"/>
      <c r="F29" s="24">
        <f>IF(D29&gt;E29,"YES","NO")</f>
        <v/>
      </c>
      <c r="G29" s="25" t="n"/>
      <c r="H29" s="24">
        <f>IF(G29&lt;0.15,"YES","NO")</f>
        <v/>
      </c>
      <c r="I29" s="24">
        <f>IF(F29="YES","CONFIRM",IF(H29="YES","FUTILITY STOP","CONTINUE"))</f>
        <v/>
      </c>
    </row>
    <row r="30" ht="15" customHeight="1" s="20">
      <c r="A30" s="24" t="n"/>
      <c r="B30" s="24" t="n"/>
      <c r="C30" s="24" t="n"/>
      <c r="D30" s="25" t="n"/>
      <c r="E30" s="24" t="n"/>
      <c r="F30" s="24">
        <f>IF(D30&gt;E30,"YES","NO")</f>
        <v/>
      </c>
      <c r="G30" s="25" t="n"/>
      <c r="H30" s="24">
        <f>IF(G30&lt;0.15,"YES","NO")</f>
        <v/>
      </c>
      <c r="I30" s="24">
        <f>IF(F30="YES","CONFIRM",IF(H30="YES","FUTILITY STOP","CONTINUE"))</f>
        <v/>
      </c>
    </row>
    <row r="31" ht="15" customHeight="1" s="20">
      <c r="A31" s="24" t="n"/>
      <c r="B31" s="24" t="n"/>
      <c r="C31" s="24" t="n"/>
      <c r="D31" s="25" t="n"/>
      <c r="E31" s="24" t="n"/>
      <c r="F31" s="24">
        <f>IF(D31&gt;E31,"YES","NO")</f>
        <v/>
      </c>
      <c r="G31" s="25" t="n"/>
      <c r="H31" s="24">
        <f>IF(G31&lt;0.15,"YES","NO")</f>
        <v/>
      </c>
      <c r="I31" s="24">
        <f>IF(F31="YES","CONFIRM",IF(H31="YES","FUTILITY STOP","CONTINUE"))</f>
        <v/>
      </c>
    </row>
    <row r="32" ht="15" customHeight="1" s="20">
      <c r="A32" s="24" t="n"/>
      <c r="B32" s="24" t="n"/>
      <c r="C32" s="24" t="n"/>
      <c r="D32" s="25" t="n"/>
      <c r="E32" s="24" t="n"/>
      <c r="F32" s="24">
        <f>IF(D32&gt;E32,"YES","NO")</f>
        <v/>
      </c>
      <c r="G32" s="25" t="n"/>
      <c r="H32" s="24">
        <f>IF(G32&lt;0.15,"YES","NO")</f>
        <v/>
      </c>
      <c r="I32" s="24">
        <f>IF(F32="YES","CONFIRM",IF(H32="YES","FUTILITY STOP","CONTINUE"))</f>
        <v/>
      </c>
    </row>
    <row r="33" ht="15" customHeight="1" s="20">
      <c r="A33" s="24" t="n"/>
      <c r="B33" s="24" t="n"/>
      <c r="C33" s="24" t="n"/>
      <c r="D33" s="25" t="n"/>
      <c r="E33" s="24" t="n"/>
      <c r="F33" s="24">
        <f>IF(D33&gt;E33,"YES","NO")</f>
        <v/>
      </c>
      <c r="G33" s="25" t="n"/>
      <c r="H33" s="24">
        <f>IF(G33&lt;0.15,"YES","NO")</f>
        <v/>
      </c>
      <c r="I33" s="24">
        <f>IF(F33="YES","CONFIRM",IF(H33="YES","FUTILITY STOP","CONTINUE"))</f>
        <v/>
      </c>
    </row>
    <row r="34" ht="15" customHeight="1" s="20">
      <c r="A34" s="24" t="n"/>
      <c r="B34" s="24" t="n"/>
      <c r="C34" s="24" t="n"/>
      <c r="D34" s="25" t="n"/>
      <c r="E34" s="24" t="n"/>
      <c r="F34" s="24">
        <f>IF(D34&gt;E34,"YES","NO")</f>
        <v/>
      </c>
      <c r="G34" s="25" t="n"/>
      <c r="H34" s="24">
        <f>IF(G34&lt;0.15,"YES","NO")</f>
        <v/>
      </c>
      <c r="I34" s="24">
        <f>IF(F34="YES","CONFIRM",IF(H34="YES","FUTILITY STOP","CONTINUE"))</f>
        <v/>
      </c>
    </row>
  </sheetData>
  <conditionalFormatting sqref="I15:I34">
    <cfRule type="cellIs" rank="0" priority="2" equalAverage="0" operator="equal" aboveAverage="0" dxfId="0" text="" percent="0" bottom="0">
      <formula>"CONFIRM"</formula>
    </cfRule>
    <cfRule type="cellIs" rank="0" priority="3" equalAverage="0" operator="equal" aboveAverage="0" dxfId="1" text="" percent="0" bottom="0">
      <formula>"FUTILITY STOP"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20" customWidth="1" style="19" min="2" max="2"/>
    <col width="14" customWidth="1" style="19" min="3" max="7"/>
    <col width="10" customWidth="1" style="19" min="8" max="8"/>
  </cols>
  <sheetData>
    <row r="1" ht="17.35" customHeight="1" s="20">
      <c r="A1" s="21" t="inlineStr">
        <is>
          <t>MONTE CARLO SCENARIO MODEL</t>
        </is>
      </c>
    </row>
    <row r="2" ht="15" customHeight="1" s="20">
      <c r="A2" s="22" t="inlineStr">
        <is>
          <t>4 scenarios with confidence intervals</t>
        </is>
      </c>
    </row>
    <row r="4" ht="23.85" customHeight="1" s="20">
      <c r="A4" s="23" t="inlineStr">
        <is>
          <t>Scenario</t>
        </is>
      </c>
      <c r="B4" s="23" t="inlineStr">
        <is>
          <t>Hypothesis Success Rate</t>
        </is>
      </c>
      <c r="C4" s="23" t="inlineStr">
        <is>
          <t>Mean Outcome</t>
        </is>
      </c>
      <c r="D4" s="23" t="inlineStr">
        <is>
          <t>Median</t>
        </is>
      </c>
      <c r="E4" s="23" t="inlineStr">
        <is>
          <t>90% CI Lower</t>
        </is>
      </c>
      <c r="F4" s="23" t="inlineStr">
        <is>
          <t>90% CI Upper</t>
        </is>
      </c>
      <c r="G4" s="23" t="inlineStr">
        <is>
          <t>vs Baseline</t>
        </is>
      </c>
      <c r="H4" s="23" t="inlineStr">
        <is>
          <t>Δ%</t>
        </is>
      </c>
    </row>
    <row r="5" ht="15" customHeight="1" s="20">
      <c r="A5" s="30" t="inlineStr">
        <is>
          <t>Pessimistic</t>
        </is>
      </c>
      <c r="B5" s="25" t="n"/>
      <c r="C5" s="25" t="n"/>
      <c r="D5" s="25" t="n"/>
      <c r="E5" s="25" t="n"/>
      <c r="F5" s="25" t="n"/>
      <c r="G5" s="25" t="n"/>
      <c r="H5" s="33" t="n"/>
    </row>
    <row r="6" ht="15" customHeight="1" s="20">
      <c r="A6" s="30" t="inlineStr">
        <is>
          <t>Moderate</t>
        </is>
      </c>
      <c r="B6" s="25" t="n"/>
      <c r="C6" s="25" t="n"/>
      <c r="D6" s="25" t="n"/>
      <c r="E6" s="25" t="n"/>
      <c r="F6" s="25" t="n"/>
      <c r="G6" s="25" t="n"/>
      <c r="H6" s="33" t="n"/>
    </row>
    <row r="7" ht="15" customHeight="1" s="20">
      <c r="A7" s="30" t="inlineStr">
        <is>
          <t>Optimistic</t>
        </is>
      </c>
      <c r="B7" s="25" t="n"/>
      <c r="C7" s="25" t="n"/>
      <c r="D7" s="25" t="n"/>
      <c r="E7" s="25" t="n"/>
      <c r="F7" s="25" t="n"/>
      <c r="G7" s="25" t="n"/>
      <c r="H7" s="33" t="n"/>
    </row>
    <row r="8" ht="15" customHeight="1" s="20">
      <c r="A8" s="30" t="inlineStr">
        <is>
          <t>Seasonal-Adjusted</t>
        </is>
      </c>
      <c r="B8" s="25" t="n"/>
      <c r="C8" s="25" t="n"/>
      <c r="D8" s="25" t="n"/>
      <c r="E8" s="25" t="n"/>
      <c r="F8" s="25" t="n"/>
      <c r="G8" s="25" t="n"/>
      <c r="H8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20" customWidth="1" style="19" min="2" max="4"/>
    <col width="10" customWidth="1" style="19" min="5" max="7"/>
    <col width="8" customWidth="1" style="19" min="8" max="8"/>
    <col width="10" customWidth="1" style="19" min="9" max="9"/>
    <col width="25" customWidth="1" style="19" min="10" max="10"/>
    <col width="12" customWidth="1" style="19" min="11" max="11"/>
  </cols>
  <sheetData>
    <row r="1" ht="17.35" customHeight="1" s="20">
      <c r="A1" s="21" t="inlineStr">
        <is>
          <t>FAILURE MODES &amp; EFFECTS ANALYSIS</t>
        </is>
      </c>
    </row>
    <row r="2" ht="15" customHeight="1" s="20">
      <c r="A2" s="22" t="inlineStr">
        <is>
          <t>Sort by RPN descending. Fix highest first.</t>
        </is>
      </c>
    </row>
    <row r="4" ht="15" customHeight="1" s="20">
      <c r="A4" s="23" t="inlineStr">
        <is>
          <t>Component</t>
        </is>
      </c>
      <c r="B4" s="23" t="inlineStr">
        <is>
          <t>Function</t>
        </is>
      </c>
      <c r="C4" s="23" t="inlineStr">
        <is>
          <t>Failure Mode</t>
        </is>
      </c>
      <c r="D4" s="23" t="inlineStr">
        <is>
          <t>Effect</t>
        </is>
      </c>
      <c r="E4" s="23" t="inlineStr">
        <is>
          <t>S (1-10)</t>
        </is>
      </c>
      <c r="F4" s="23" t="inlineStr">
        <is>
          <t>O (1-10)</t>
        </is>
      </c>
      <c r="G4" s="23" t="inlineStr">
        <is>
          <t>D (1-10)</t>
        </is>
      </c>
      <c r="H4" s="23" t="inlineStr">
        <is>
          <t>RPN</t>
        </is>
      </c>
      <c r="I4" s="23" t="inlineStr">
        <is>
          <t>Priority</t>
        </is>
      </c>
      <c r="J4" s="23" t="inlineStr">
        <is>
          <t>Action</t>
        </is>
      </c>
      <c r="K4" s="23" t="inlineStr">
        <is>
          <t>Status</t>
        </is>
      </c>
    </row>
    <row r="5" ht="15" customHeight="1" s="20">
      <c r="A5" s="24" t="n"/>
      <c r="B5" s="24" t="n"/>
      <c r="C5" s="24" t="n"/>
      <c r="D5" s="24" t="n"/>
      <c r="E5" s="25" t="n"/>
      <c r="F5" s="25" t="n"/>
      <c r="G5" s="25" t="n"/>
      <c r="H5" s="24">
        <f>E5*F5*G5</f>
        <v/>
      </c>
      <c r="I5" s="24">
        <f>IF(H5&gt;300,"CRITICAL",IF(H5&gt;100,"HIGH",IF(H5&gt;50,"MEDIUM","LOW")))</f>
        <v/>
      </c>
      <c r="J5" s="24" t="n"/>
      <c r="K5" s="24" t="n"/>
    </row>
    <row r="6" ht="15" customHeight="1" s="20">
      <c r="A6" s="24" t="n"/>
      <c r="B6" s="24" t="n"/>
      <c r="C6" s="24" t="n"/>
      <c r="D6" s="24" t="n"/>
      <c r="E6" s="25" t="n"/>
      <c r="F6" s="25" t="n"/>
      <c r="G6" s="25" t="n"/>
      <c r="H6" s="24">
        <f>E6*F6*G6</f>
        <v/>
      </c>
      <c r="I6" s="24">
        <f>IF(H6&gt;300,"CRITICAL",IF(H6&gt;100,"HIGH",IF(H6&gt;50,"MEDIUM","LOW")))</f>
        <v/>
      </c>
      <c r="J6" s="24" t="n"/>
      <c r="K6" s="24" t="n"/>
    </row>
    <row r="7" ht="15" customHeight="1" s="20">
      <c r="A7" s="24" t="n"/>
      <c r="B7" s="24" t="n"/>
      <c r="C7" s="24" t="n"/>
      <c r="D7" s="24" t="n"/>
      <c r="E7" s="25" t="n"/>
      <c r="F7" s="25" t="n"/>
      <c r="G7" s="25" t="n"/>
      <c r="H7" s="24">
        <f>E7*F7*G7</f>
        <v/>
      </c>
      <c r="I7" s="24">
        <f>IF(H7&gt;300,"CRITICAL",IF(H7&gt;100,"HIGH",IF(H7&gt;50,"MEDIUM","LOW")))</f>
        <v/>
      </c>
      <c r="J7" s="24" t="n"/>
      <c r="K7" s="24" t="n"/>
    </row>
    <row r="8" ht="15" customHeight="1" s="20">
      <c r="A8" s="24" t="n"/>
      <c r="B8" s="24" t="n"/>
      <c r="C8" s="24" t="n"/>
      <c r="D8" s="24" t="n"/>
      <c r="E8" s="25" t="n"/>
      <c r="F8" s="25" t="n"/>
      <c r="G8" s="25" t="n"/>
      <c r="H8" s="24">
        <f>E8*F8*G8</f>
        <v/>
      </c>
      <c r="I8" s="24">
        <f>IF(H8&gt;300,"CRITICAL",IF(H8&gt;100,"HIGH",IF(H8&gt;50,"MEDIUM","LOW")))</f>
        <v/>
      </c>
      <c r="J8" s="24" t="n"/>
      <c r="K8" s="24" t="n"/>
    </row>
    <row r="9" ht="15" customHeight="1" s="20">
      <c r="A9" s="24" t="n"/>
      <c r="B9" s="24" t="n"/>
      <c r="C9" s="24" t="n"/>
      <c r="D9" s="24" t="n"/>
      <c r="E9" s="25" t="n"/>
      <c r="F9" s="25" t="n"/>
      <c r="G9" s="25" t="n"/>
      <c r="H9" s="24">
        <f>E9*F9*G9</f>
        <v/>
      </c>
      <c r="I9" s="24">
        <f>IF(H9&gt;300,"CRITICAL",IF(H9&gt;100,"HIGH",IF(H9&gt;50,"MEDIUM","LOW")))</f>
        <v/>
      </c>
      <c r="J9" s="24" t="n"/>
      <c r="K9" s="24" t="n"/>
    </row>
    <row r="10" ht="15" customHeight="1" s="20">
      <c r="A10" s="24" t="n"/>
      <c r="B10" s="24" t="n"/>
      <c r="C10" s="24" t="n"/>
      <c r="D10" s="24" t="n"/>
      <c r="E10" s="25" t="n"/>
      <c r="F10" s="25" t="n"/>
      <c r="G10" s="25" t="n"/>
      <c r="H10" s="24">
        <f>E10*F10*G10</f>
        <v/>
      </c>
      <c r="I10" s="24">
        <f>IF(H10&gt;300,"CRITICAL",IF(H10&gt;100,"HIGH",IF(H10&gt;50,"MEDIUM","LOW")))</f>
        <v/>
      </c>
      <c r="J10" s="24" t="n"/>
      <c r="K10" s="24" t="n"/>
    </row>
    <row r="11" ht="15" customHeight="1" s="20">
      <c r="A11" s="24" t="n"/>
      <c r="B11" s="24" t="n"/>
      <c r="C11" s="24" t="n"/>
      <c r="D11" s="24" t="n"/>
      <c r="E11" s="25" t="n"/>
      <c r="F11" s="25" t="n"/>
      <c r="G11" s="25" t="n"/>
      <c r="H11" s="24">
        <f>E11*F11*G11</f>
        <v/>
      </c>
      <c r="I11" s="24">
        <f>IF(H11&gt;300,"CRITICAL",IF(H11&gt;100,"HIGH",IF(H11&gt;50,"MEDIUM","LOW")))</f>
        <v/>
      </c>
      <c r="J11" s="24" t="n"/>
      <c r="K11" s="24" t="n"/>
    </row>
    <row r="12" ht="15" customHeight="1" s="20">
      <c r="A12" s="24" t="n"/>
      <c r="B12" s="24" t="n"/>
      <c r="C12" s="24" t="n"/>
      <c r="D12" s="24" t="n"/>
      <c r="E12" s="25" t="n"/>
      <c r="F12" s="25" t="n"/>
      <c r="G12" s="25" t="n"/>
      <c r="H12" s="24">
        <f>E12*F12*G12</f>
        <v/>
      </c>
      <c r="I12" s="24">
        <f>IF(H12&gt;300,"CRITICAL",IF(H12&gt;100,"HIGH",IF(H12&gt;50,"MEDIUM","LOW")))</f>
        <v/>
      </c>
      <c r="J12" s="24" t="n"/>
      <c r="K12" s="24" t="n"/>
    </row>
    <row r="13" ht="15" customHeight="1" s="20">
      <c r="A13" s="24" t="n"/>
      <c r="B13" s="24" t="n"/>
      <c r="C13" s="24" t="n"/>
      <c r="D13" s="24" t="n"/>
      <c r="E13" s="25" t="n"/>
      <c r="F13" s="25" t="n"/>
      <c r="G13" s="25" t="n"/>
      <c r="H13" s="24">
        <f>E13*F13*G13</f>
        <v/>
      </c>
      <c r="I13" s="24">
        <f>IF(H13&gt;300,"CRITICAL",IF(H13&gt;100,"HIGH",IF(H13&gt;50,"MEDIUM","LOW")))</f>
        <v/>
      </c>
      <c r="J13" s="24" t="n"/>
      <c r="K13" s="24" t="n"/>
    </row>
    <row r="14" ht="15" customHeight="1" s="20">
      <c r="A14" s="24" t="n"/>
      <c r="B14" s="24" t="n"/>
      <c r="C14" s="24" t="n"/>
      <c r="D14" s="24" t="n"/>
      <c r="E14" s="25" t="n"/>
      <c r="F14" s="25" t="n"/>
      <c r="G14" s="25" t="n"/>
      <c r="H14" s="24">
        <f>E14*F14*G14</f>
        <v/>
      </c>
      <c r="I14" s="24">
        <f>IF(H14&gt;300,"CRITICAL",IF(H14&gt;100,"HIGH",IF(H14&gt;50,"MEDIUM","LOW")))</f>
        <v/>
      </c>
      <c r="J14" s="24" t="n"/>
      <c r="K14" s="24" t="n"/>
    </row>
    <row r="15" ht="15" customHeight="1" s="20">
      <c r="A15" s="24" t="n"/>
      <c r="B15" s="24" t="n"/>
      <c r="C15" s="24" t="n"/>
      <c r="D15" s="24" t="n"/>
      <c r="E15" s="25" t="n"/>
      <c r="F15" s="25" t="n"/>
      <c r="G15" s="25" t="n"/>
      <c r="H15" s="24">
        <f>E15*F15*G15</f>
        <v/>
      </c>
      <c r="I15" s="24">
        <f>IF(H15&gt;300,"CRITICAL",IF(H15&gt;100,"HIGH",IF(H15&gt;50,"MEDIUM","LOW")))</f>
        <v/>
      </c>
      <c r="J15" s="24" t="n"/>
      <c r="K15" s="24" t="n"/>
    </row>
    <row r="16" ht="15" customHeight="1" s="20">
      <c r="A16" s="24" t="n"/>
      <c r="B16" s="24" t="n"/>
      <c r="C16" s="24" t="n"/>
      <c r="D16" s="24" t="n"/>
      <c r="E16" s="25" t="n"/>
      <c r="F16" s="25" t="n"/>
      <c r="G16" s="25" t="n"/>
      <c r="H16" s="24">
        <f>E16*F16*G16</f>
        <v/>
      </c>
      <c r="I16" s="24">
        <f>IF(H16&gt;300,"CRITICAL",IF(H16&gt;100,"HIGH",IF(H16&gt;50,"MEDIUM","LOW")))</f>
        <v/>
      </c>
      <c r="J16" s="24" t="n"/>
      <c r="K16" s="24" t="n"/>
    </row>
    <row r="17" ht="15" customHeight="1" s="20">
      <c r="A17" s="24" t="n"/>
      <c r="B17" s="24" t="n"/>
      <c r="C17" s="24" t="n"/>
      <c r="D17" s="24" t="n"/>
      <c r="E17" s="25" t="n"/>
      <c r="F17" s="25" t="n"/>
      <c r="G17" s="25" t="n"/>
      <c r="H17" s="24">
        <f>E17*F17*G17</f>
        <v/>
      </c>
      <c r="I17" s="24">
        <f>IF(H17&gt;300,"CRITICAL",IF(H17&gt;100,"HIGH",IF(H17&gt;50,"MEDIUM","LOW")))</f>
        <v/>
      </c>
      <c r="J17" s="24" t="n"/>
      <c r="K17" s="24" t="n"/>
    </row>
    <row r="18" ht="15" customHeight="1" s="20">
      <c r="A18" s="24" t="n"/>
      <c r="B18" s="24" t="n"/>
      <c r="C18" s="24" t="n"/>
      <c r="D18" s="24" t="n"/>
      <c r="E18" s="25" t="n"/>
      <c r="F18" s="25" t="n"/>
      <c r="G18" s="25" t="n"/>
      <c r="H18" s="24">
        <f>E18*F18*G18</f>
        <v/>
      </c>
      <c r="I18" s="24">
        <f>IF(H18&gt;300,"CRITICAL",IF(H18&gt;100,"HIGH",IF(H18&gt;50,"MEDIUM","LOW")))</f>
        <v/>
      </c>
      <c r="J18" s="24" t="n"/>
      <c r="K18" s="24" t="n"/>
    </row>
    <row r="19" ht="15" customHeight="1" s="20">
      <c r="A19" s="24" t="n"/>
      <c r="B19" s="24" t="n"/>
      <c r="C19" s="24" t="n"/>
      <c r="D19" s="24" t="n"/>
      <c r="E19" s="25" t="n"/>
      <c r="F19" s="25" t="n"/>
      <c r="G19" s="25" t="n"/>
      <c r="H19" s="24">
        <f>E19*F19*G19</f>
        <v/>
      </c>
      <c r="I19" s="24">
        <f>IF(H19&gt;300,"CRITICAL",IF(H19&gt;100,"HIGH",IF(H19&gt;50,"MEDIUM","LOW")))</f>
        <v/>
      </c>
      <c r="J19" s="24" t="n"/>
      <c r="K19" s="24" t="n"/>
    </row>
    <row r="20" ht="15" customHeight="1" s="20">
      <c r="A20" s="24" t="n"/>
      <c r="B20" s="24" t="n"/>
      <c r="C20" s="24" t="n"/>
      <c r="D20" s="24" t="n"/>
      <c r="E20" s="25" t="n"/>
      <c r="F20" s="25" t="n"/>
      <c r="G20" s="25" t="n"/>
      <c r="H20" s="24">
        <f>E20*F20*G20</f>
        <v/>
      </c>
      <c r="I20" s="24">
        <f>IF(H20&gt;300,"CRITICAL",IF(H20&gt;100,"HIGH",IF(H20&gt;50,"MEDIUM","LOW")))</f>
        <v/>
      </c>
      <c r="J20" s="24" t="n"/>
      <c r="K20" s="24" t="n"/>
    </row>
    <row r="21" ht="15" customHeight="1" s="20">
      <c r="A21" s="24" t="n"/>
      <c r="B21" s="24" t="n"/>
      <c r="C21" s="24" t="n"/>
      <c r="D21" s="24" t="n"/>
      <c r="E21" s="25" t="n"/>
      <c r="F21" s="25" t="n"/>
      <c r="G21" s="25" t="n"/>
      <c r="H21" s="24">
        <f>E21*F21*G21</f>
        <v/>
      </c>
      <c r="I21" s="24">
        <f>IF(H21&gt;300,"CRITICAL",IF(H21&gt;100,"HIGH",IF(H21&gt;50,"MEDIUM","LOW")))</f>
        <v/>
      </c>
      <c r="J21" s="24" t="n"/>
      <c r="K21" s="24" t="n"/>
    </row>
    <row r="22" ht="15" customHeight="1" s="20">
      <c r="A22" s="24" t="n"/>
      <c r="B22" s="24" t="n"/>
      <c r="C22" s="24" t="n"/>
      <c r="D22" s="24" t="n"/>
      <c r="E22" s="25" t="n"/>
      <c r="F22" s="25" t="n"/>
      <c r="G22" s="25" t="n"/>
      <c r="H22" s="24">
        <f>E22*F22*G22</f>
        <v/>
      </c>
      <c r="I22" s="24">
        <f>IF(H22&gt;300,"CRITICAL",IF(H22&gt;100,"HIGH",IF(H22&gt;50,"MEDIUM","LOW")))</f>
        <v/>
      </c>
      <c r="J22" s="24" t="n"/>
      <c r="K22" s="24" t="n"/>
    </row>
    <row r="23" ht="15" customHeight="1" s="20">
      <c r="A23" s="24" t="n"/>
      <c r="B23" s="24" t="n"/>
      <c r="C23" s="24" t="n"/>
      <c r="D23" s="24" t="n"/>
      <c r="E23" s="25" t="n"/>
      <c r="F23" s="25" t="n"/>
      <c r="G23" s="25" t="n"/>
      <c r="H23" s="24">
        <f>E23*F23*G23</f>
        <v/>
      </c>
      <c r="I23" s="24">
        <f>IF(H23&gt;300,"CRITICAL",IF(H23&gt;100,"HIGH",IF(H23&gt;50,"MEDIUM","LOW")))</f>
        <v/>
      </c>
      <c r="J23" s="24" t="n"/>
      <c r="K23" s="24" t="n"/>
    </row>
    <row r="24" ht="15" customHeight="1" s="20">
      <c r="A24" s="24" t="n"/>
      <c r="B24" s="24" t="n"/>
      <c r="C24" s="24" t="n"/>
      <c r="D24" s="24" t="n"/>
      <c r="E24" s="25" t="n"/>
      <c r="F24" s="25" t="n"/>
      <c r="G24" s="25" t="n"/>
      <c r="H24" s="24">
        <f>E24*F24*G24</f>
        <v/>
      </c>
      <c r="I24" s="24">
        <f>IF(H24&gt;300,"CRITICAL",IF(H24&gt;100,"HIGH",IF(H24&gt;50,"MEDIUM","LOW")))</f>
        <v/>
      </c>
      <c r="J24" s="24" t="n"/>
      <c r="K24" s="24" t="n"/>
    </row>
  </sheetData>
  <conditionalFormatting sqref="I5:I24">
    <cfRule type="cellIs" rank="0" priority="2" equalAverage="0" operator="equal" aboveAverage="0" dxfId="1" text="" percent="0" bottom="0">
      <formula>"CRITICAL"</formula>
    </cfRule>
    <cfRule type="cellIs" rank="0" priority="3" equalAverage="0" operator="equal" aboveAverage="0" dxfId="3" text="" percent="0" bottom="0">
      <formula>"HIGH"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" min="1" max="7"/>
    <col width="25" customWidth="1" style="19" min="8" max="9"/>
    <col width="18" customWidth="1" style="19" min="10" max="10"/>
    <col width="14" customWidth="1" style="19" min="11" max="11"/>
  </cols>
  <sheetData>
    <row r="1" ht="17.35" customHeight="1" s="20">
      <c r="A1" s="21" t="inlineStr">
        <is>
          <t>GATE REVIEW LOG</t>
        </is>
      </c>
    </row>
    <row r="2" ht="15" customHeight="1" s="20">
      <c r="A2" s="22" t="inlineStr">
        <is>
          <t>8-step sealed-vote protocol results</t>
        </is>
      </c>
    </row>
    <row r="4" ht="23.85" customHeight="1" s="20">
      <c r="A4" s="23" t="inlineStr">
        <is>
          <t>Date</t>
        </is>
      </c>
      <c r="B4" s="23" t="inlineStr">
        <is>
          <t>Hypothesis</t>
        </is>
      </c>
      <c r="C4" s="23" t="inlineStr">
        <is>
          <t>Reviewer 1</t>
        </is>
      </c>
      <c r="D4" s="23" t="inlineStr">
        <is>
          <t>Reviewer 2</t>
        </is>
      </c>
      <c r="E4" s="23" t="inlineStr">
        <is>
          <t>Reviewer 3</t>
        </is>
      </c>
      <c r="F4" s="23" t="inlineStr">
        <is>
          <t>Majority</t>
        </is>
      </c>
      <c r="G4" s="23" t="inlineStr">
        <is>
          <t>Decision</t>
        </is>
      </c>
      <c r="H4" s="23" t="inlineStr">
        <is>
          <t>DOUBLE_CRUX Finding</t>
        </is>
      </c>
      <c r="I4" s="23" t="inlineStr">
        <is>
          <t>STEELMAN Finding</t>
        </is>
      </c>
      <c r="J4" s="23" t="inlineStr">
        <is>
          <t>Dissent Documented</t>
        </is>
      </c>
      <c r="K4" s="23" t="inlineStr">
        <is>
          <t>Next Gate Date</t>
        </is>
      </c>
    </row>
    <row r="5" ht="15" customHeight="1" s="20">
      <c r="A5" s="24" t="n"/>
      <c r="B5" s="24" t="n"/>
      <c r="C5" s="24" t="n"/>
      <c r="D5" s="24" t="n"/>
      <c r="E5" s="24" t="n"/>
      <c r="F5" s="24">
        <f>IF(COUNTIF(C5:E5,"C")&gt;=2,"CONFIRM",IF(COUNTIF(C5:E5,"R")&gt;=2,"REJECT","EXTEND"))</f>
        <v/>
      </c>
      <c r="G5" s="24" t="n"/>
      <c r="H5" s="24" t="n"/>
      <c r="I5" s="24" t="n"/>
      <c r="J5" s="24" t="n"/>
      <c r="K5" s="24" t="n"/>
    </row>
    <row r="6" ht="15" customHeight="1" s="20">
      <c r="A6" s="24" t="n"/>
      <c r="B6" s="24" t="n"/>
      <c r="C6" s="24" t="n"/>
      <c r="D6" s="24" t="n"/>
      <c r="E6" s="24" t="n"/>
      <c r="F6" s="24">
        <f>IF(COUNTIF(C6:E6,"C")&gt;=2,"CONFIRM",IF(COUNTIF(C6:E6,"R")&gt;=2,"REJECT","EXTEND"))</f>
        <v/>
      </c>
      <c r="G6" s="24" t="n"/>
      <c r="H6" s="24" t="n"/>
      <c r="I6" s="24" t="n"/>
      <c r="J6" s="24" t="n"/>
      <c r="K6" s="24" t="n"/>
    </row>
    <row r="7" ht="15" customHeight="1" s="20">
      <c r="A7" s="24" t="n"/>
      <c r="B7" s="24" t="n"/>
      <c r="C7" s="24" t="n"/>
      <c r="D7" s="24" t="n"/>
      <c r="E7" s="24" t="n"/>
      <c r="F7" s="24">
        <f>IF(COUNTIF(C7:E7,"C")&gt;=2,"CONFIRM",IF(COUNTIF(C7:E7,"R")&gt;=2,"REJECT","EXTEND"))</f>
        <v/>
      </c>
      <c r="G7" s="24" t="n"/>
      <c r="H7" s="24" t="n"/>
      <c r="I7" s="24" t="n"/>
      <c r="J7" s="24" t="n"/>
      <c r="K7" s="24" t="n"/>
    </row>
    <row r="8" ht="15" customHeight="1" s="20">
      <c r="A8" s="24" t="n"/>
      <c r="B8" s="24" t="n"/>
      <c r="C8" s="24" t="n"/>
      <c r="D8" s="24" t="n"/>
      <c r="E8" s="24" t="n"/>
      <c r="F8" s="24">
        <f>IF(COUNTIF(C8:E8,"C")&gt;=2,"CONFIRM",IF(COUNTIF(C8:E8,"R")&gt;=2,"REJECT","EXTEND"))</f>
        <v/>
      </c>
      <c r="G8" s="24" t="n"/>
      <c r="H8" s="24" t="n"/>
      <c r="I8" s="24" t="n"/>
      <c r="J8" s="24" t="n"/>
      <c r="K8" s="24" t="n"/>
    </row>
    <row r="9" ht="15" customHeight="1" s="20">
      <c r="A9" s="24" t="n"/>
      <c r="B9" s="24" t="n"/>
      <c r="C9" s="24" t="n"/>
      <c r="D9" s="24" t="n"/>
      <c r="E9" s="24" t="n"/>
      <c r="F9" s="24">
        <f>IF(COUNTIF(C9:E9,"C")&gt;=2,"CONFIRM",IF(COUNTIF(C9:E9,"R")&gt;=2,"REJECT","EXTEND"))</f>
        <v/>
      </c>
      <c r="G9" s="24" t="n"/>
      <c r="H9" s="24" t="n"/>
      <c r="I9" s="24" t="n"/>
      <c r="J9" s="24" t="n"/>
      <c r="K9" s="24" t="n"/>
    </row>
    <row r="10" ht="15" customHeight="1" s="20">
      <c r="A10" s="24" t="n"/>
      <c r="B10" s="24" t="n"/>
      <c r="C10" s="24" t="n"/>
      <c r="D10" s="24" t="n"/>
      <c r="E10" s="24" t="n"/>
      <c r="F10" s="24">
        <f>IF(COUNTIF(C10:E10,"C")&gt;=2,"CONFIRM",IF(COUNTIF(C10:E10,"R")&gt;=2,"REJECT","EXTEND"))</f>
        <v/>
      </c>
      <c r="G10" s="24" t="n"/>
      <c r="H10" s="24" t="n"/>
      <c r="I10" s="24" t="n"/>
      <c r="J10" s="24" t="n"/>
      <c r="K10" s="24" t="n"/>
    </row>
    <row r="11" ht="15" customHeight="1" s="20">
      <c r="A11" s="24" t="n"/>
      <c r="B11" s="24" t="n"/>
      <c r="C11" s="24" t="n"/>
      <c r="D11" s="24" t="n"/>
      <c r="E11" s="24" t="n"/>
      <c r="F11" s="24">
        <f>IF(COUNTIF(C11:E11,"C")&gt;=2,"CONFIRM",IF(COUNTIF(C11:E11,"R")&gt;=2,"REJECT","EXTEND"))</f>
        <v/>
      </c>
      <c r="G11" s="24" t="n"/>
      <c r="H11" s="24" t="n"/>
      <c r="I11" s="24" t="n"/>
      <c r="J11" s="24" t="n"/>
      <c r="K11" s="24" t="n"/>
    </row>
    <row r="12" ht="15" customHeight="1" s="20">
      <c r="A12" s="24" t="n"/>
      <c r="B12" s="24" t="n"/>
      <c r="C12" s="24" t="n"/>
      <c r="D12" s="24" t="n"/>
      <c r="E12" s="24" t="n"/>
      <c r="F12" s="24">
        <f>IF(COUNTIF(C12:E12,"C")&gt;=2,"CONFIRM",IF(COUNTIF(C12:E12,"R")&gt;=2,"REJECT","EXTEND"))</f>
        <v/>
      </c>
      <c r="G12" s="24" t="n"/>
      <c r="H12" s="24" t="n"/>
      <c r="I12" s="24" t="n"/>
      <c r="J12" s="24" t="n"/>
      <c r="K12" s="24" t="n"/>
    </row>
    <row r="13" ht="15" customHeight="1" s="20">
      <c r="A13" s="24" t="n"/>
      <c r="B13" s="24" t="n"/>
      <c r="C13" s="24" t="n"/>
      <c r="D13" s="24" t="n"/>
      <c r="E13" s="24" t="n"/>
      <c r="F13" s="24">
        <f>IF(COUNTIF(C13:E13,"C")&gt;=2,"CONFIRM",IF(COUNTIF(C13:E13,"R")&gt;=2,"REJECT","EXTEND"))</f>
        <v/>
      </c>
      <c r="G13" s="24" t="n"/>
      <c r="H13" s="24" t="n"/>
      <c r="I13" s="24" t="n"/>
      <c r="J13" s="24" t="n"/>
      <c r="K13" s="24" t="n"/>
    </row>
    <row r="14" ht="15" customHeight="1" s="20">
      <c r="A14" s="24" t="n"/>
      <c r="B14" s="24" t="n"/>
      <c r="C14" s="24" t="n"/>
      <c r="D14" s="24" t="n"/>
      <c r="E14" s="24" t="n"/>
      <c r="F14" s="24">
        <f>IF(COUNTIF(C14:E14,"C")&gt;=2,"CONFIRM",IF(COUNTIF(C14:E14,"R")&gt;=2,"REJECT","EXTEND"))</f>
        <v/>
      </c>
      <c r="G14" s="24" t="n"/>
      <c r="H14" s="24" t="n"/>
      <c r="I14" s="24" t="n"/>
      <c r="J14" s="24" t="n"/>
      <c r="K14" s="24" t="n"/>
    </row>
    <row r="15" ht="15" customHeight="1" s="20">
      <c r="A15" s="24" t="n"/>
      <c r="B15" s="24" t="n"/>
      <c r="C15" s="24" t="n"/>
      <c r="D15" s="24" t="n"/>
      <c r="E15" s="24" t="n"/>
      <c r="F15" s="24">
        <f>IF(COUNTIF(C15:E15,"C")&gt;=2,"CONFIRM",IF(COUNTIF(C15:E15,"R")&gt;=2,"REJECT","EXTEND"))</f>
        <v/>
      </c>
      <c r="G15" s="24" t="n"/>
      <c r="H15" s="24" t="n"/>
      <c r="I15" s="24" t="n"/>
      <c r="J15" s="24" t="n"/>
      <c r="K15" s="24" t="n"/>
    </row>
    <row r="16" ht="15" customHeight="1" s="20">
      <c r="A16" s="24" t="n"/>
      <c r="B16" s="24" t="n"/>
      <c r="C16" s="24" t="n"/>
      <c r="D16" s="24" t="n"/>
      <c r="E16" s="24" t="n"/>
      <c r="F16" s="24">
        <f>IF(COUNTIF(C16:E16,"C")&gt;=2,"CONFIRM",IF(COUNTIF(C16:E16,"R")&gt;=2,"REJECT","EXTEND"))</f>
        <v/>
      </c>
      <c r="G16" s="24" t="n"/>
      <c r="H16" s="24" t="n"/>
      <c r="I16" s="24" t="n"/>
      <c r="J16" s="24" t="n"/>
      <c r="K16" s="24" t="n"/>
    </row>
    <row r="17" ht="15" customHeight="1" s="20">
      <c r="A17" s="24" t="n"/>
      <c r="B17" s="24" t="n"/>
      <c r="C17" s="24" t="n"/>
      <c r="D17" s="24" t="n"/>
      <c r="E17" s="24" t="n"/>
      <c r="F17" s="24">
        <f>IF(COUNTIF(C17:E17,"C")&gt;=2,"CONFIRM",IF(COUNTIF(C17:E17,"R")&gt;=2,"REJECT","EXTEND"))</f>
        <v/>
      </c>
      <c r="G17" s="24" t="n"/>
      <c r="H17" s="24" t="n"/>
      <c r="I17" s="24" t="n"/>
      <c r="J17" s="24" t="n"/>
      <c r="K17" s="24" t="n"/>
    </row>
    <row r="18" ht="15" customHeight="1" s="20">
      <c r="A18" s="24" t="n"/>
      <c r="B18" s="24" t="n"/>
      <c r="C18" s="24" t="n"/>
      <c r="D18" s="24" t="n"/>
      <c r="E18" s="24" t="n"/>
      <c r="F18" s="24">
        <f>IF(COUNTIF(C18:E18,"C")&gt;=2,"CONFIRM",IF(COUNTIF(C18:E18,"R")&gt;=2,"REJECT","EXTEND"))</f>
        <v/>
      </c>
      <c r="G18" s="24" t="n"/>
      <c r="H18" s="24" t="n"/>
      <c r="I18" s="24" t="n"/>
      <c r="J18" s="24" t="n"/>
      <c r="K18" s="24" t="n"/>
    </row>
    <row r="19" ht="15" customHeight="1" s="20">
      <c r="A19" s="24" t="n"/>
      <c r="B19" s="24" t="n"/>
      <c r="C19" s="24" t="n"/>
      <c r="D19" s="24" t="n"/>
      <c r="E19" s="24" t="n"/>
      <c r="F19" s="24">
        <f>IF(COUNTIF(C19:E19,"C")&gt;=2,"CONFIRM",IF(COUNTIF(C19:E19,"R")&gt;=2,"REJECT","EXTEND"))</f>
        <v/>
      </c>
      <c r="G19" s="24" t="n"/>
      <c r="H19" s="24" t="n"/>
      <c r="I19" s="24" t="n"/>
      <c r="J19" s="24" t="n"/>
      <c r="K19" s="24" t="n"/>
    </row>
    <row r="20" ht="15" customHeight="1" s="20">
      <c r="A20" s="24" t="n"/>
      <c r="B20" s="24" t="n"/>
      <c r="C20" s="24" t="n"/>
      <c r="D20" s="24" t="n"/>
      <c r="E20" s="24" t="n"/>
      <c r="F20" s="24">
        <f>IF(COUNTIF(C20:E20,"C")&gt;=2,"CONFIRM",IF(COUNTIF(C20:E20,"R")&gt;=2,"REJECT","EXTEND"))</f>
        <v/>
      </c>
      <c r="G20" s="24" t="n"/>
      <c r="H20" s="24" t="n"/>
      <c r="I20" s="24" t="n"/>
      <c r="J20" s="24" t="n"/>
      <c r="K20" s="24" t="n"/>
    </row>
    <row r="21" ht="15" customHeight="1" s="20">
      <c r="A21" s="24" t="n"/>
      <c r="B21" s="24" t="n"/>
      <c r="C21" s="24" t="n"/>
      <c r="D21" s="24" t="n"/>
      <c r="E21" s="24" t="n"/>
      <c r="F21" s="24">
        <f>IF(COUNTIF(C21:E21,"C")&gt;=2,"CONFIRM",IF(COUNTIF(C21:E21,"R")&gt;=2,"REJECT","EXTEND"))</f>
        <v/>
      </c>
      <c r="G21" s="24" t="n"/>
      <c r="H21" s="24" t="n"/>
      <c r="I21" s="24" t="n"/>
      <c r="J21" s="24" t="n"/>
      <c r="K21" s="24" t="n"/>
    </row>
    <row r="22" ht="15" customHeight="1" s="20">
      <c r="A22" s="24" t="n"/>
      <c r="B22" s="24" t="n"/>
      <c r="C22" s="24" t="n"/>
      <c r="D22" s="24" t="n"/>
      <c r="E22" s="24" t="n"/>
      <c r="F22" s="24">
        <f>IF(COUNTIF(C22:E22,"C")&gt;=2,"CONFIRM",IF(COUNTIF(C22:E22,"R")&gt;=2,"REJECT","EXTEND"))</f>
        <v/>
      </c>
      <c r="G22" s="24" t="n"/>
      <c r="H22" s="24" t="n"/>
      <c r="I22" s="24" t="n"/>
      <c r="J22" s="24" t="n"/>
      <c r="K22" s="24" t="n"/>
    </row>
    <row r="23" ht="15" customHeight="1" s="20">
      <c r="A23" s="24" t="n"/>
      <c r="B23" s="24" t="n"/>
      <c r="C23" s="24" t="n"/>
      <c r="D23" s="24" t="n"/>
      <c r="E23" s="24" t="n"/>
      <c r="F23" s="24">
        <f>IF(COUNTIF(C23:E23,"C")&gt;=2,"CONFIRM",IF(COUNTIF(C23:E23,"R")&gt;=2,"REJECT","EXTEND"))</f>
        <v/>
      </c>
      <c r="G23" s="24" t="n"/>
      <c r="H23" s="24" t="n"/>
      <c r="I23" s="24" t="n"/>
      <c r="J23" s="24" t="n"/>
      <c r="K23" s="24" t="n"/>
    </row>
    <row r="24" ht="15" customHeight="1" s="20">
      <c r="A24" s="24" t="n"/>
      <c r="B24" s="24" t="n"/>
      <c r="C24" s="24" t="n"/>
      <c r="D24" s="24" t="n"/>
      <c r="E24" s="24" t="n"/>
      <c r="F24" s="24">
        <f>IF(COUNTIF(C24:E24,"C")&gt;=2,"CONFIRM",IF(COUNTIF(C24:E24,"R")&gt;=2,"REJECT","EXTEND"))</f>
        <v/>
      </c>
      <c r="G24" s="24" t="n"/>
      <c r="H24" s="24" t="n"/>
      <c r="I24" s="24" t="n"/>
      <c r="J24" s="24" t="n"/>
      <c r="K2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19" min="1" max="1"/>
    <col width="14" customWidth="1" style="19" min="2" max="3"/>
    <col width="10" customWidth="1" style="19" min="4" max="4"/>
    <col width="14" customWidth="1" style="19" min="5" max="5"/>
  </cols>
  <sheetData>
    <row r="1" ht="17.35" customHeight="1" s="20">
      <c r="A1" s="21" t="inlineStr">
        <is>
          <t>DECISION QUALITY SPIDER CHART</t>
        </is>
      </c>
    </row>
    <row r="2" ht="15" customHeight="1" s="20">
      <c r="A2" s="22" t="inlineStr">
        <is>
          <t>6 SDG dimensions scored across all phases</t>
        </is>
      </c>
    </row>
    <row r="4" ht="23.85" customHeight="1" s="20">
      <c r="A4" s="29" t="inlineStr">
        <is>
          <t>Dimension</t>
        </is>
      </c>
      <c r="B4" s="29" t="inlineStr">
        <is>
          <t>Phase Scored</t>
        </is>
      </c>
      <c r="C4" s="29" t="inlineStr">
        <is>
          <t>Score (0-100%)</t>
        </is>
      </c>
      <c r="D4" s="29" t="inlineStr">
        <is>
          <t>Weight</t>
        </is>
      </c>
      <c r="E4" s="29" t="inlineStr">
        <is>
          <t>Weighted Score</t>
        </is>
      </c>
    </row>
    <row r="5" ht="15" customHeight="1" s="20">
      <c r="A5" s="24" t="inlineStr">
        <is>
          <t>1. Appropriate Frame</t>
        </is>
      </c>
      <c r="B5" s="24" t="inlineStr">
        <is>
          <t>Phase 0</t>
        </is>
      </c>
      <c r="C5" s="33" t="n"/>
      <c r="D5" s="27" t="n">
        <v>0.166666666666667</v>
      </c>
      <c r="E5" s="27">
        <f>C5*D5</f>
        <v/>
      </c>
    </row>
    <row r="6" ht="15" customHeight="1" s="20">
      <c r="A6" s="24" t="inlineStr">
        <is>
          <t>2. Creative Alternatives</t>
        </is>
      </c>
      <c r="B6" s="24" t="inlineStr">
        <is>
          <t>Phase 1</t>
        </is>
      </c>
      <c r="C6" s="33" t="n"/>
      <c r="D6" s="27" t="n">
        <v>0.166666666666667</v>
      </c>
      <c r="E6" s="27">
        <f>C6*D6</f>
        <v/>
      </c>
    </row>
    <row r="7" ht="15" customHeight="1" s="20">
      <c r="A7" s="24" t="inlineStr">
        <is>
          <t>3. Relevant Information</t>
        </is>
      </c>
      <c r="B7" s="24" t="inlineStr">
        <is>
          <t>Phase 2</t>
        </is>
      </c>
      <c r="C7" s="33" t="n"/>
      <c r="D7" s="27" t="n">
        <v>0.166666666666667</v>
      </c>
      <c r="E7" s="27">
        <f>C7*D7</f>
        <v/>
      </c>
    </row>
    <row r="8" ht="15" customHeight="1" s="20">
      <c r="A8" s="24" t="inlineStr">
        <is>
          <t>4. Clear Values</t>
        </is>
      </c>
      <c r="B8" s="24" t="inlineStr">
        <is>
          <t>Phase 3</t>
        </is>
      </c>
      <c r="C8" s="33" t="n"/>
      <c r="D8" s="27" t="n">
        <v>0.166666666666667</v>
      </c>
      <c r="E8" s="27">
        <f>C8*D8</f>
        <v/>
      </c>
    </row>
    <row r="9" ht="15" customHeight="1" s="20">
      <c r="A9" s="24" t="inlineStr">
        <is>
          <t>5. Sound Reasoning</t>
        </is>
      </c>
      <c r="B9" s="24" t="inlineStr">
        <is>
          <t>Phase 4</t>
        </is>
      </c>
      <c r="C9" s="33" t="n"/>
      <c r="D9" s="27" t="n">
        <v>0.166666666666667</v>
      </c>
      <c r="E9" s="27">
        <f>C9*D9</f>
        <v/>
      </c>
    </row>
    <row r="10" ht="15" customHeight="1" s="20">
      <c r="A10" s="24" t="inlineStr">
        <is>
          <t>6. Commitment to Action</t>
        </is>
      </c>
      <c r="B10" s="24" t="inlineStr">
        <is>
          <t>Phase 5</t>
        </is>
      </c>
      <c r="C10" s="33" t="n"/>
      <c r="D10" s="27" t="n">
        <v>0.166666666666667</v>
      </c>
      <c r="E10" s="27">
        <f>C10*D10</f>
        <v/>
      </c>
    </row>
    <row r="12" ht="15" customHeight="1" s="20">
      <c r="A12" s="28" t="inlineStr">
        <is>
          <t>Overall DQ (geometric mean)</t>
        </is>
      </c>
      <c r="C12" s="34">
        <f>IFERROR(GEOMEAN(C5:C10),"")</f>
        <v/>
      </c>
    </row>
    <row r="14" ht="15" customHeight="1" s="20">
      <c r="A14" s="35" t="inlineStr">
        <is>
          <t>Weakest Dimension</t>
        </is>
      </c>
      <c r="C14" s="36">
        <f>IFERROR(INDEX(A5:A10,MATCH(MIN(C5:C10),C5:C10,0)),"")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9" min="1" max="1"/>
    <col width="12" customWidth="1" style="19" min="2" max="2"/>
    <col width="20" customWidth="1" style="19" min="3" max="5"/>
    <col width="25" customWidth="1" style="19" min="6" max="6"/>
    <col width="20" customWidth="1" style="19" min="7" max="9"/>
    <col width="14" customWidth="1" style="19" min="10" max="10"/>
    <col width="10" customWidth="1" style="19" min="11" max="11"/>
  </cols>
  <sheetData>
    <row r="1" ht="17.35" customHeight="1" s="20">
      <c r="A1" s="21" t="inlineStr">
        <is>
          <t>REFLEXION SELF-CORRECTION LOG</t>
        </is>
      </c>
    </row>
    <row r="2" ht="15" customHeight="1" s="20">
      <c r="A2" s="22" t="inlineStr">
        <is>
          <t>Critique → Diagnose → Prescribe → Pre-flect</t>
        </is>
      </c>
    </row>
    <row r="4" ht="15" customHeight="1" s="20">
      <c r="A4" s="23" t="inlineStr">
        <is>
          <t>Cycle #</t>
        </is>
      </c>
      <c r="B4" s="23" t="inlineStr">
        <is>
          <t>Date</t>
        </is>
      </c>
      <c r="C4" s="23" t="inlineStr">
        <is>
          <t>Step Executed</t>
        </is>
      </c>
      <c r="D4" s="23" t="inlineStr">
        <is>
          <t>Expected Outcome</t>
        </is>
      </c>
      <c r="E4" s="23" t="inlineStr">
        <is>
          <t>Actual Outcome</t>
        </is>
      </c>
      <c r="F4" s="23" t="inlineStr">
        <is>
          <t>Self-Critique</t>
        </is>
      </c>
      <c r="G4" s="23" t="inlineStr">
        <is>
          <t>Root Cause</t>
        </is>
      </c>
      <c r="H4" s="23" t="inlineStr">
        <is>
          <t>Correction Applied</t>
        </is>
      </c>
      <c r="I4" s="23" t="inlineStr">
        <is>
          <t>Pre-flect (next step)</t>
        </is>
      </c>
      <c r="J4" s="23" t="inlineStr">
        <is>
          <t>Error Category</t>
        </is>
      </c>
      <c r="K4" s="23" t="inlineStr">
        <is>
          <t>Resolved?</t>
        </is>
      </c>
    </row>
    <row r="5" ht="15" customHeight="1" s="20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 ht="15" customHeight="1" s="20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 ht="15" customHeight="1" s="20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</row>
    <row r="8" ht="15" customHeight="1" s="20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</row>
    <row r="9" ht="15" customHeight="1" s="20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</row>
    <row r="10" ht="15" customHeight="1" s="2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 ht="15" customHeight="1" s="20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 ht="15" customHeight="1" s="20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</row>
    <row r="13" ht="15" customHeight="1" s="20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</row>
    <row r="14" ht="15" customHeight="1" s="20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 ht="15" customHeight="1" s="20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6" ht="15" customHeight="1" s="20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 ht="15" customHeight="1" s="20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 ht="15" customHeight="1" s="20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15" customHeight="1" s="20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15" customHeight="1" s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 ht="15" customHeight="1" s="20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 ht="15" customHeight="1" s="20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 ht="15" customHeight="1" s="20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 ht="15" customHeight="1" s="20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 ht="15" customHeight="1" s="20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 ht="15" customHeight="1" s="20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 ht="15" customHeight="1" s="20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 ht="15" customHeight="1" s="20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 ht="15" customHeight="1" s="20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 ht="15" customHeight="1" s="2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 ht="15" customHeight="1" s="20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 ht="15" customHeight="1" s="20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 ht="15" customHeight="1" s="20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 ht="15" customHeight="1" s="20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" min="1" max="1"/>
    <col width="30" customWidth="1" style="19" min="2" max="2"/>
    <col width="14" customWidth="1" style="19" min="3" max="3"/>
    <col width="25" customWidth="1" style="19" min="4" max="4"/>
    <col width="10" customWidth="1" style="19" min="5" max="6"/>
    <col width="15" customWidth="1" style="19" min="7" max="7"/>
    <col width="14" customWidth="1" style="19" min="8" max="8"/>
  </cols>
  <sheetData>
    <row r="1" ht="17.35" customHeight="1" s="20">
      <c r="A1" s="21" t="inlineStr">
        <is>
          <t>CHANGE LOG</t>
        </is>
      </c>
    </row>
    <row r="2" ht="15" customHeight="1" s="20">
      <c r="A2" s="22" t="inlineStr">
        <is>
          <t>Versioned history of all project changes</t>
        </is>
      </c>
    </row>
    <row r="4" ht="15" customHeight="1" s="20">
      <c r="A4" s="23" t="inlineStr">
        <is>
          <t>Date</t>
        </is>
      </c>
      <c r="B4" s="23" t="inlineStr">
        <is>
          <t>What Changed</t>
        </is>
      </c>
      <c r="C4" s="23" t="inlineStr">
        <is>
          <t>Who</t>
        </is>
      </c>
      <c r="D4" s="23" t="inlineStr">
        <is>
          <t>Why</t>
        </is>
      </c>
      <c r="E4" s="23" t="inlineStr">
        <is>
          <t>Version</t>
        </is>
      </c>
      <c r="F4" s="23" t="inlineStr">
        <is>
          <t>Phase</t>
        </is>
      </c>
      <c r="G4" s="23" t="inlineStr">
        <is>
          <t>Impact</t>
        </is>
      </c>
      <c r="H4" s="23" t="inlineStr">
        <is>
          <t>Approved By</t>
        </is>
      </c>
    </row>
    <row r="5" ht="15" customHeight="1" s="20">
      <c r="A5" s="24" t="n"/>
      <c r="B5" s="24" t="n"/>
      <c r="C5" s="24" t="n"/>
      <c r="D5" s="24" t="n"/>
      <c r="E5" s="24" t="n"/>
      <c r="F5" s="24" t="n"/>
      <c r="G5" s="24" t="n"/>
      <c r="H5" s="24" t="n"/>
    </row>
    <row r="6" ht="15" customHeight="1" s="20">
      <c r="A6" s="24" t="n"/>
      <c r="B6" s="24" t="n"/>
      <c r="C6" s="24" t="n"/>
      <c r="D6" s="24" t="n"/>
      <c r="E6" s="24" t="n"/>
      <c r="F6" s="24" t="n"/>
      <c r="G6" s="24" t="n"/>
      <c r="H6" s="24" t="n"/>
    </row>
    <row r="7" ht="15" customHeight="1" s="20">
      <c r="A7" s="24" t="n"/>
      <c r="B7" s="24" t="n"/>
      <c r="C7" s="24" t="n"/>
      <c r="D7" s="24" t="n"/>
      <c r="E7" s="24" t="n"/>
      <c r="F7" s="24" t="n"/>
      <c r="G7" s="24" t="n"/>
      <c r="H7" s="24" t="n"/>
    </row>
    <row r="8" ht="15" customHeight="1" s="20">
      <c r="A8" s="24" t="n"/>
      <c r="B8" s="24" t="n"/>
      <c r="C8" s="24" t="n"/>
      <c r="D8" s="24" t="n"/>
      <c r="E8" s="24" t="n"/>
      <c r="F8" s="24" t="n"/>
      <c r="G8" s="24" t="n"/>
      <c r="H8" s="24" t="n"/>
    </row>
    <row r="9" ht="15" customHeight="1" s="20">
      <c r="A9" s="24" t="n"/>
      <c r="B9" s="24" t="n"/>
      <c r="C9" s="24" t="n"/>
      <c r="D9" s="24" t="n"/>
      <c r="E9" s="24" t="n"/>
      <c r="F9" s="24" t="n"/>
      <c r="G9" s="24" t="n"/>
      <c r="H9" s="24" t="n"/>
    </row>
    <row r="10" ht="15" customHeight="1" s="20">
      <c r="A10" s="24" t="n"/>
      <c r="B10" s="24" t="n"/>
      <c r="C10" s="24" t="n"/>
      <c r="D10" s="24" t="n"/>
      <c r="E10" s="24" t="n"/>
      <c r="F10" s="24" t="n"/>
      <c r="G10" s="24" t="n"/>
      <c r="H10" s="24" t="n"/>
    </row>
    <row r="11" ht="15" customHeight="1" s="20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15" customHeight="1" s="20">
      <c r="A12" s="24" t="n"/>
      <c r="B12" s="24" t="n"/>
      <c r="C12" s="24" t="n"/>
      <c r="D12" s="24" t="n"/>
      <c r="E12" s="24" t="n"/>
      <c r="F12" s="24" t="n"/>
      <c r="G12" s="24" t="n"/>
      <c r="H12" s="24" t="n"/>
    </row>
    <row r="13" ht="15" customHeight="1" s="20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 ht="15" customHeight="1" s="20">
      <c r="A14" s="24" t="n"/>
      <c r="B14" s="24" t="n"/>
      <c r="C14" s="24" t="n"/>
      <c r="D14" s="24" t="n"/>
      <c r="E14" s="24" t="n"/>
      <c r="F14" s="24" t="n"/>
      <c r="G14" s="24" t="n"/>
      <c r="H14" s="24" t="n"/>
    </row>
    <row r="15" ht="15" customHeight="1" s="20">
      <c r="A15" s="24" t="n"/>
      <c r="B15" s="24" t="n"/>
      <c r="C15" s="24" t="n"/>
      <c r="D15" s="24" t="n"/>
      <c r="E15" s="24" t="n"/>
      <c r="F15" s="24" t="n"/>
      <c r="G15" s="24" t="n"/>
      <c r="H15" s="24" t="n"/>
    </row>
    <row r="16" ht="15" customHeight="1" s="20">
      <c r="A16" s="24" t="n"/>
      <c r="B16" s="24" t="n"/>
      <c r="C16" s="24" t="n"/>
      <c r="D16" s="24" t="n"/>
      <c r="E16" s="24" t="n"/>
      <c r="F16" s="24" t="n"/>
      <c r="G16" s="24" t="n"/>
      <c r="H16" s="24" t="n"/>
    </row>
    <row r="17" ht="15" customHeight="1" s="20">
      <c r="A17" s="24" t="n"/>
      <c r="B17" s="24" t="n"/>
      <c r="C17" s="24" t="n"/>
      <c r="D17" s="24" t="n"/>
      <c r="E17" s="24" t="n"/>
      <c r="F17" s="24" t="n"/>
      <c r="G17" s="24" t="n"/>
      <c r="H17" s="24" t="n"/>
    </row>
    <row r="18" ht="15" customHeight="1" s="20">
      <c r="A18" s="24" t="n"/>
      <c r="B18" s="24" t="n"/>
      <c r="C18" s="24" t="n"/>
      <c r="D18" s="24" t="n"/>
      <c r="E18" s="24" t="n"/>
      <c r="F18" s="24" t="n"/>
      <c r="G18" s="24" t="n"/>
      <c r="H18" s="24" t="n"/>
    </row>
    <row r="19" ht="15" customHeight="1" s="20">
      <c r="A19" s="24" t="n"/>
      <c r="B19" s="24" t="n"/>
      <c r="C19" s="24" t="n"/>
      <c r="D19" s="24" t="n"/>
      <c r="E19" s="24" t="n"/>
      <c r="F19" s="24" t="n"/>
      <c r="G19" s="24" t="n"/>
      <c r="H19" s="24" t="n"/>
    </row>
    <row r="20" ht="15" customHeight="1" s="20">
      <c r="A20" s="24" t="n"/>
      <c r="B20" s="24" t="n"/>
      <c r="C20" s="24" t="n"/>
      <c r="D20" s="24" t="n"/>
      <c r="E20" s="24" t="n"/>
      <c r="F20" s="24" t="n"/>
      <c r="G20" s="24" t="n"/>
      <c r="H20" s="24" t="n"/>
    </row>
    <row r="21" ht="15" customHeight="1" s="20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15" customHeight="1" s="20">
      <c r="A22" s="24" t="n"/>
      <c r="B22" s="24" t="n"/>
      <c r="C22" s="24" t="n"/>
      <c r="D22" s="24" t="n"/>
      <c r="E22" s="24" t="n"/>
      <c r="F22" s="24" t="n"/>
      <c r="G22" s="24" t="n"/>
      <c r="H22" s="24" t="n"/>
    </row>
    <row r="23" ht="15" customHeight="1" s="20">
      <c r="A23" s="24" t="n"/>
      <c r="B23" s="24" t="n"/>
      <c r="C23" s="24" t="n"/>
      <c r="D23" s="24" t="n"/>
      <c r="E23" s="24" t="n"/>
      <c r="F23" s="24" t="n"/>
      <c r="G23" s="24" t="n"/>
      <c r="H23" s="24" t="n"/>
    </row>
    <row r="24" ht="15" customHeight="1" s="20">
      <c r="A24" s="24" t="n"/>
      <c r="B24" s="24" t="n"/>
      <c r="C24" s="24" t="n"/>
      <c r="D24" s="24" t="n"/>
      <c r="E24" s="24" t="n"/>
      <c r="F24" s="24" t="n"/>
      <c r="G24" s="24" t="n"/>
      <c r="H24" s="24" t="n"/>
    </row>
    <row r="25" ht="15" customHeight="1" s="20">
      <c r="A25" s="24" t="n"/>
      <c r="B25" s="24" t="n"/>
      <c r="C25" s="24" t="n"/>
      <c r="D25" s="24" t="n"/>
      <c r="E25" s="24" t="n"/>
      <c r="F25" s="24" t="n"/>
      <c r="G25" s="24" t="n"/>
      <c r="H25" s="24" t="n"/>
    </row>
    <row r="26" ht="15" customHeight="1" s="20">
      <c r="A26" s="24" t="n"/>
      <c r="B26" s="24" t="n"/>
      <c r="C26" s="24" t="n"/>
      <c r="D26" s="24" t="n"/>
      <c r="E26" s="24" t="n"/>
      <c r="F26" s="24" t="n"/>
      <c r="G26" s="24" t="n"/>
      <c r="H26" s="24" t="n"/>
    </row>
    <row r="27" ht="15" customHeight="1" s="20">
      <c r="A27" s="24" t="n"/>
      <c r="B27" s="24" t="n"/>
      <c r="C27" s="24" t="n"/>
      <c r="D27" s="24" t="n"/>
      <c r="E27" s="24" t="n"/>
      <c r="F27" s="24" t="n"/>
      <c r="G27" s="24" t="n"/>
      <c r="H27" s="24" t="n"/>
    </row>
    <row r="28" ht="15" customHeight="1" s="20">
      <c r="A28" s="24" t="n"/>
      <c r="B28" s="24" t="n"/>
      <c r="C28" s="24" t="n"/>
      <c r="D28" s="24" t="n"/>
      <c r="E28" s="24" t="n"/>
      <c r="F28" s="24" t="n"/>
      <c r="G28" s="24" t="n"/>
      <c r="H28" s="24" t="n"/>
    </row>
    <row r="29" ht="15" customHeight="1" s="20">
      <c r="A29" s="24" t="n"/>
      <c r="B29" s="24" t="n"/>
      <c r="C29" s="24" t="n"/>
      <c r="D29" s="24" t="n"/>
      <c r="E29" s="24" t="n"/>
      <c r="F29" s="24" t="n"/>
      <c r="G29" s="24" t="n"/>
      <c r="H29" s="24" t="n"/>
    </row>
    <row r="30" ht="15" customHeight="1" s="20">
      <c r="A30" s="24" t="n"/>
      <c r="B30" s="24" t="n"/>
      <c r="C30" s="24" t="n"/>
      <c r="D30" s="24" t="n"/>
      <c r="E30" s="24" t="n"/>
      <c r="F30" s="24" t="n"/>
      <c r="G30" s="24" t="n"/>
      <c r="H30" s="24" t="n"/>
    </row>
    <row r="31" ht="15" customHeight="1" s="20">
      <c r="A31" s="24" t="n"/>
      <c r="B31" s="24" t="n"/>
      <c r="C31" s="24" t="n"/>
      <c r="D31" s="24" t="n"/>
      <c r="E31" s="24" t="n"/>
      <c r="F31" s="24" t="n"/>
      <c r="G31" s="24" t="n"/>
      <c r="H31" s="24" t="n"/>
    </row>
    <row r="32" ht="15" customHeight="1" s="20">
      <c r="A32" s="24" t="n"/>
      <c r="B32" s="24" t="n"/>
      <c r="C32" s="24" t="n"/>
      <c r="D32" s="24" t="n"/>
      <c r="E32" s="24" t="n"/>
      <c r="F32" s="24" t="n"/>
      <c r="G32" s="24" t="n"/>
      <c r="H32" s="24" t="n"/>
    </row>
    <row r="33" ht="15" customHeight="1" s="20">
      <c r="A33" s="24" t="n"/>
      <c r="B33" s="24" t="n"/>
      <c r="C33" s="24" t="n"/>
      <c r="D33" s="24" t="n"/>
      <c r="E33" s="24" t="n"/>
      <c r="F33" s="24" t="n"/>
      <c r="G33" s="24" t="n"/>
      <c r="H33" s="24" t="n"/>
    </row>
    <row r="34" ht="15" customHeight="1" s="20">
      <c r="A34" s="24" t="n"/>
      <c r="B34" s="24" t="n"/>
      <c r="C34" s="24" t="n"/>
      <c r="D34" s="24" t="n"/>
      <c r="E34" s="24" t="n"/>
      <c r="F34" s="24" t="n"/>
      <c r="G34" s="24" t="n"/>
      <c r="H34" s="24" t="n"/>
    </row>
    <row r="35" ht="15" customHeight="1" s="20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15" customHeight="1" s="20">
      <c r="A36" s="24" t="n"/>
      <c r="B36" s="24" t="n"/>
      <c r="C36" s="24" t="n"/>
      <c r="D36" s="24" t="n"/>
      <c r="E36" s="24" t="n"/>
      <c r="F36" s="24" t="n"/>
      <c r="G36" s="24" t="n"/>
      <c r="H36" s="24" t="n"/>
    </row>
    <row r="37" ht="15" customHeight="1" s="20">
      <c r="A37" s="24" t="n"/>
      <c r="B37" s="24" t="n"/>
      <c r="C37" s="24" t="n"/>
      <c r="D37" s="24" t="n"/>
      <c r="E37" s="24" t="n"/>
      <c r="F37" s="24" t="n"/>
      <c r="G37" s="24" t="n"/>
      <c r="H37" s="24" t="n"/>
    </row>
    <row r="38" ht="15" customHeight="1" s="20">
      <c r="A38" s="24" t="n"/>
      <c r="B38" s="24" t="n"/>
      <c r="C38" s="24" t="n"/>
      <c r="D38" s="24" t="n"/>
      <c r="E38" s="24" t="n"/>
      <c r="F38" s="24" t="n"/>
      <c r="G38" s="24" t="n"/>
      <c r="H38" s="24" t="n"/>
    </row>
    <row r="39" ht="15" customHeight="1" s="20">
      <c r="A39" s="24" t="n"/>
      <c r="B39" s="24" t="n"/>
      <c r="C39" s="24" t="n"/>
      <c r="D39" s="24" t="n"/>
      <c r="E39" s="24" t="n"/>
      <c r="F39" s="24" t="n"/>
      <c r="G39" s="24" t="n"/>
      <c r="H39" s="24" t="n"/>
    </row>
    <row r="40" ht="15" customHeight="1" s="20">
      <c r="A40" s="24" t="n"/>
      <c r="B40" s="24" t="n"/>
      <c r="C40" s="24" t="n"/>
      <c r="D40" s="24" t="n"/>
      <c r="E40" s="24" t="n"/>
      <c r="F40" s="24" t="n"/>
      <c r="G40" s="24" t="n"/>
      <c r="H40" s="24" t="n"/>
    </row>
    <row r="41" ht="15" customHeight="1" s="20">
      <c r="A41" s="24" t="n"/>
      <c r="B41" s="24" t="n"/>
      <c r="C41" s="24" t="n"/>
      <c r="D41" s="24" t="n"/>
      <c r="E41" s="24" t="n"/>
      <c r="F41" s="24" t="n"/>
      <c r="G41" s="24" t="n"/>
      <c r="H41" s="24" t="n"/>
    </row>
    <row r="42" ht="15" customHeight="1" s="20">
      <c r="A42" s="24" t="n"/>
      <c r="B42" s="24" t="n"/>
      <c r="C42" s="24" t="n"/>
      <c r="D42" s="24" t="n"/>
      <c r="E42" s="24" t="n"/>
      <c r="F42" s="24" t="n"/>
      <c r="G42" s="24" t="n"/>
      <c r="H42" s="24" t="n"/>
    </row>
    <row r="43" ht="15" customHeight="1" s="20">
      <c r="A43" s="24" t="n"/>
      <c r="B43" s="24" t="n"/>
      <c r="C43" s="24" t="n"/>
      <c r="D43" s="24" t="n"/>
      <c r="E43" s="24" t="n"/>
      <c r="F43" s="24" t="n"/>
      <c r="G43" s="24" t="n"/>
      <c r="H43" s="24" t="n"/>
    </row>
    <row r="44" ht="15" customHeight="1" s="20">
      <c r="A44" s="24" t="n"/>
      <c r="B44" s="24" t="n"/>
      <c r="C44" s="24" t="n"/>
      <c r="D44" s="24" t="n"/>
      <c r="E44" s="24" t="n"/>
      <c r="F44" s="24" t="n"/>
      <c r="G44" s="24" t="n"/>
      <c r="H44" s="24" t="n"/>
    </row>
    <row r="45" ht="15" customHeight="1" s="20">
      <c r="A45" s="24" t="n"/>
      <c r="B45" s="24" t="n"/>
      <c r="C45" s="24" t="n"/>
      <c r="D45" s="24" t="n"/>
      <c r="E45" s="24" t="n"/>
      <c r="F45" s="24" t="n"/>
      <c r="G45" s="24" t="n"/>
      <c r="H45" s="24" t="n"/>
    </row>
    <row r="46" ht="15" customHeight="1" s="20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15" customHeight="1" s="20">
      <c r="A47" s="24" t="n"/>
      <c r="B47" s="24" t="n"/>
      <c r="C47" s="24" t="n"/>
      <c r="D47" s="24" t="n"/>
      <c r="E47" s="24" t="n"/>
      <c r="F47" s="24" t="n"/>
      <c r="G47" s="24" t="n"/>
      <c r="H47" s="24" t="n"/>
    </row>
    <row r="48" ht="15" customHeight="1" s="20">
      <c r="A48" s="24" t="n"/>
      <c r="B48" s="24" t="n"/>
      <c r="C48" s="24" t="n"/>
      <c r="D48" s="24" t="n"/>
      <c r="E48" s="24" t="n"/>
      <c r="F48" s="24" t="n"/>
      <c r="G48" s="24" t="n"/>
      <c r="H48" s="24" t="n"/>
    </row>
    <row r="49" ht="15" customHeight="1" s="20">
      <c r="A49" s="24" t="n"/>
      <c r="B49" s="24" t="n"/>
      <c r="C49" s="24" t="n"/>
      <c r="D49" s="24" t="n"/>
      <c r="E49" s="24" t="n"/>
      <c r="F49" s="24" t="n"/>
      <c r="G49" s="24" t="n"/>
      <c r="H49" s="24" t="n"/>
    </row>
    <row r="50" ht="15" customHeight="1" s="20">
      <c r="A50" s="24" t="n"/>
      <c r="B50" s="24" t="n"/>
      <c r="C50" s="24" t="n"/>
      <c r="D50" s="24" t="n"/>
      <c r="E50" s="24" t="n"/>
      <c r="F50" s="24" t="n"/>
      <c r="G50" s="24" t="n"/>
      <c r="H50" s="24" t="n"/>
    </row>
    <row r="51" ht="15" customHeight="1" s="20">
      <c r="A51" s="24" t="n"/>
      <c r="B51" s="24" t="n"/>
      <c r="C51" s="24" t="n"/>
      <c r="D51" s="24" t="n"/>
      <c r="E51" s="24" t="n"/>
      <c r="F51" s="24" t="n"/>
      <c r="G51" s="24" t="n"/>
      <c r="H51" s="24" t="n"/>
    </row>
    <row r="52" ht="15" customHeight="1" s="20">
      <c r="A52" s="24" t="n"/>
      <c r="B52" s="24" t="n"/>
      <c r="C52" s="24" t="n"/>
      <c r="D52" s="24" t="n"/>
      <c r="E52" s="24" t="n"/>
      <c r="F52" s="24" t="n"/>
      <c r="G52" s="24" t="n"/>
      <c r="H52" s="24" t="n"/>
    </row>
    <row r="53" ht="15" customHeight="1" s="20">
      <c r="A53" s="24" t="n"/>
      <c r="B53" s="24" t="n"/>
      <c r="C53" s="24" t="n"/>
      <c r="D53" s="24" t="n"/>
      <c r="E53" s="24" t="n"/>
      <c r="F53" s="24" t="n"/>
      <c r="G53" s="24" t="n"/>
      <c r="H53" s="24" t="n"/>
    </row>
    <row r="54" ht="15" customHeight="1" s="20">
      <c r="A54" s="24" t="n"/>
      <c r="B54" s="24" t="n"/>
      <c r="C54" s="24" t="n"/>
      <c r="D54" s="24" t="n"/>
      <c r="E54" s="24" t="n"/>
      <c r="F54" s="24" t="n"/>
      <c r="G54" s="24" t="n"/>
      <c r="H54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10" customWidth="1" style="19" min="2" max="2"/>
    <col width="14" customWidth="1" style="19" min="3" max="5"/>
    <col width="25" customWidth="1" style="19" min="6" max="6"/>
  </cols>
  <sheetData>
    <row r="1" ht="17.35" customHeight="1" s="20">
      <c r="A1" s="21" t="inlineStr">
        <is>
          <t>CALIBRATION TRACKER</t>
        </is>
      </c>
    </row>
    <row r="2" ht="15" customHeight="1" s="20">
      <c r="A2" s="22" t="inlineStr">
        <is>
          <t>Track prediction accuracy across the project + compute Brier score</t>
        </is>
      </c>
    </row>
    <row r="4" ht="23.85" customHeight="1" s="20">
      <c r="A4" s="29" t="inlineStr">
        <is>
          <t>Prediction</t>
        </is>
      </c>
      <c r="B4" s="29" t="inlineStr">
        <is>
          <t>Phase</t>
        </is>
      </c>
      <c r="C4" s="29" t="inlineStr">
        <is>
          <t>Confidence (0-1)</t>
        </is>
      </c>
      <c r="D4" s="29" t="inlineStr">
        <is>
          <t>Actual (0 or 1)</t>
        </is>
      </c>
      <c r="E4" s="29" t="inlineStr">
        <is>
          <t>Squared Error</t>
        </is>
      </c>
      <c r="F4" s="29" t="inlineStr">
        <is>
          <t>Notes</t>
        </is>
      </c>
    </row>
    <row r="5" ht="15" customHeight="1" s="20">
      <c r="A5" s="24" t="n"/>
      <c r="B5" s="24" t="n"/>
      <c r="C5" s="25" t="n"/>
      <c r="D5" s="25" t="n"/>
      <c r="E5" s="27">
        <f>IFERROR((C5-D5)^2,"")</f>
        <v/>
      </c>
      <c r="F5" s="24" t="n"/>
    </row>
    <row r="6" ht="15" customHeight="1" s="20">
      <c r="A6" s="24" t="n"/>
      <c r="B6" s="24" t="n"/>
      <c r="C6" s="25" t="n"/>
      <c r="D6" s="25" t="n"/>
      <c r="E6" s="27">
        <f>IFERROR((C6-D6)^2,"")</f>
        <v/>
      </c>
      <c r="F6" s="24" t="n"/>
    </row>
    <row r="7" ht="15" customHeight="1" s="20">
      <c r="A7" s="24" t="n"/>
      <c r="B7" s="24" t="n"/>
      <c r="C7" s="25" t="n"/>
      <c r="D7" s="25" t="n"/>
      <c r="E7" s="27">
        <f>IFERROR((C7-D7)^2,"")</f>
        <v/>
      </c>
      <c r="F7" s="24" t="n"/>
    </row>
    <row r="8" ht="15" customHeight="1" s="20">
      <c r="A8" s="24" t="n"/>
      <c r="B8" s="24" t="n"/>
      <c r="C8" s="25" t="n"/>
      <c r="D8" s="25" t="n"/>
      <c r="E8" s="27">
        <f>IFERROR((C8-D8)^2,"")</f>
        <v/>
      </c>
      <c r="F8" s="24" t="n"/>
    </row>
    <row r="9" ht="15" customHeight="1" s="20">
      <c r="A9" s="24" t="n"/>
      <c r="B9" s="24" t="n"/>
      <c r="C9" s="25" t="n"/>
      <c r="D9" s="25" t="n"/>
      <c r="E9" s="27">
        <f>IFERROR((C9-D9)^2,"")</f>
        <v/>
      </c>
      <c r="F9" s="24" t="n"/>
    </row>
    <row r="10" ht="15" customHeight="1" s="20">
      <c r="A10" s="24" t="n"/>
      <c r="B10" s="24" t="n"/>
      <c r="C10" s="25" t="n"/>
      <c r="D10" s="25" t="n"/>
      <c r="E10" s="27">
        <f>IFERROR((C10-D10)^2,"")</f>
        <v/>
      </c>
      <c r="F10" s="24" t="n"/>
    </row>
    <row r="11" ht="15" customHeight="1" s="20">
      <c r="A11" s="24" t="n"/>
      <c r="B11" s="24" t="n"/>
      <c r="C11" s="25" t="n"/>
      <c r="D11" s="25" t="n"/>
      <c r="E11" s="27">
        <f>IFERROR((C11-D11)^2,"")</f>
        <v/>
      </c>
      <c r="F11" s="24" t="n"/>
    </row>
    <row r="12" ht="15" customHeight="1" s="20">
      <c r="A12" s="24" t="n"/>
      <c r="B12" s="24" t="n"/>
      <c r="C12" s="25" t="n"/>
      <c r="D12" s="25" t="n"/>
      <c r="E12" s="27">
        <f>IFERROR((C12-D12)^2,"")</f>
        <v/>
      </c>
      <c r="F12" s="24" t="n"/>
    </row>
    <row r="13" ht="15" customHeight="1" s="20">
      <c r="A13" s="24" t="n"/>
      <c r="B13" s="24" t="n"/>
      <c r="C13" s="25" t="n"/>
      <c r="D13" s="25" t="n"/>
      <c r="E13" s="27">
        <f>IFERROR((C13-D13)^2,"")</f>
        <v/>
      </c>
      <c r="F13" s="24" t="n"/>
    </row>
    <row r="14" ht="15" customHeight="1" s="20">
      <c r="A14" s="24" t="n"/>
      <c r="B14" s="24" t="n"/>
      <c r="C14" s="25" t="n"/>
      <c r="D14" s="25" t="n"/>
      <c r="E14" s="27">
        <f>IFERROR((C14-D14)^2,"")</f>
        <v/>
      </c>
      <c r="F14" s="24" t="n"/>
    </row>
    <row r="15" ht="15" customHeight="1" s="20">
      <c r="A15" s="24" t="n"/>
      <c r="B15" s="24" t="n"/>
      <c r="C15" s="25" t="n"/>
      <c r="D15" s="25" t="n"/>
      <c r="E15" s="27">
        <f>IFERROR((C15-D15)^2,"")</f>
        <v/>
      </c>
      <c r="F15" s="24" t="n"/>
    </row>
    <row r="16" ht="15" customHeight="1" s="20">
      <c r="A16" s="24" t="n"/>
      <c r="B16" s="24" t="n"/>
      <c r="C16" s="25" t="n"/>
      <c r="D16" s="25" t="n"/>
      <c r="E16" s="27">
        <f>IFERROR((C16-D16)^2,"")</f>
        <v/>
      </c>
      <c r="F16" s="24" t="n"/>
    </row>
    <row r="17" ht="15" customHeight="1" s="20">
      <c r="A17" s="24" t="n"/>
      <c r="B17" s="24" t="n"/>
      <c r="C17" s="25" t="n"/>
      <c r="D17" s="25" t="n"/>
      <c r="E17" s="27">
        <f>IFERROR((C17-D17)^2,"")</f>
        <v/>
      </c>
      <c r="F17" s="24" t="n"/>
    </row>
    <row r="18" ht="15" customHeight="1" s="20">
      <c r="A18" s="24" t="n"/>
      <c r="B18" s="24" t="n"/>
      <c r="C18" s="25" t="n"/>
      <c r="D18" s="25" t="n"/>
      <c r="E18" s="27">
        <f>IFERROR((C18-D18)^2,"")</f>
        <v/>
      </c>
      <c r="F18" s="24" t="n"/>
    </row>
    <row r="19" ht="15" customHeight="1" s="20">
      <c r="A19" s="24" t="n"/>
      <c r="B19" s="24" t="n"/>
      <c r="C19" s="25" t="n"/>
      <c r="D19" s="25" t="n"/>
      <c r="E19" s="27">
        <f>IFERROR((C19-D19)^2,"")</f>
        <v/>
      </c>
      <c r="F19" s="24" t="n"/>
    </row>
    <row r="20" ht="15" customHeight="1" s="20">
      <c r="A20" s="24" t="n"/>
      <c r="B20" s="24" t="n"/>
      <c r="C20" s="25" t="n"/>
      <c r="D20" s="25" t="n"/>
      <c r="E20" s="27">
        <f>IFERROR((C20-D20)^2,"")</f>
        <v/>
      </c>
      <c r="F20" s="24" t="n"/>
    </row>
    <row r="21" ht="15" customHeight="1" s="20">
      <c r="A21" s="24" t="n"/>
      <c r="B21" s="24" t="n"/>
      <c r="C21" s="25" t="n"/>
      <c r="D21" s="25" t="n"/>
      <c r="E21" s="27">
        <f>IFERROR((C21-D21)^2,"")</f>
        <v/>
      </c>
      <c r="F21" s="24" t="n"/>
    </row>
    <row r="22" ht="15" customHeight="1" s="20">
      <c r="A22" s="24" t="n"/>
      <c r="B22" s="24" t="n"/>
      <c r="C22" s="25" t="n"/>
      <c r="D22" s="25" t="n"/>
      <c r="E22" s="27">
        <f>IFERROR((C22-D22)^2,"")</f>
        <v/>
      </c>
      <c r="F22" s="24" t="n"/>
    </row>
    <row r="23" ht="15" customHeight="1" s="20">
      <c r="A23" s="24" t="n"/>
      <c r="B23" s="24" t="n"/>
      <c r="C23" s="25" t="n"/>
      <c r="D23" s="25" t="n"/>
      <c r="E23" s="27">
        <f>IFERROR((C23-D23)^2,"")</f>
        <v/>
      </c>
      <c r="F23" s="24" t="n"/>
    </row>
    <row r="24" ht="15" customHeight="1" s="20">
      <c r="A24" s="24" t="n"/>
      <c r="B24" s="24" t="n"/>
      <c r="C24" s="25" t="n"/>
      <c r="D24" s="25" t="n"/>
      <c r="E24" s="27">
        <f>IFERROR((C24-D24)^2,"")</f>
        <v/>
      </c>
      <c r="F24" s="24" t="n"/>
    </row>
    <row r="25" ht="15" customHeight="1" s="20">
      <c r="A25" s="24" t="n"/>
      <c r="B25" s="24" t="n"/>
      <c r="C25" s="25" t="n"/>
      <c r="D25" s="25" t="n"/>
      <c r="E25" s="27">
        <f>IFERROR((C25-D25)^2,"")</f>
        <v/>
      </c>
      <c r="F25" s="24" t="n"/>
    </row>
    <row r="26" ht="15" customHeight="1" s="20">
      <c r="A26" s="24" t="n"/>
      <c r="B26" s="24" t="n"/>
      <c r="C26" s="25" t="n"/>
      <c r="D26" s="25" t="n"/>
      <c r="E26" s="27">
        <f>IFERROR((C26-D26)^2,"")</f>
        <v/>
      </c>
      <c r="F26" s="24" t="n"/>
    </row>
    <row r="27" ht="15" customHeight="1" s="20">
      <c r="A27" s="24" t="n"/>
      <c r="B27" s="24" t="n"/>
      <c r="C27" s="25" t="n"/>
      <c r="D27" s="25" t="n"/>
      <c r="E27" s="27">
        <f>IFERROR((C27-D27)^2,"")</f>
        <v/>
      </c>
      <c r="F27" s="24" t="n"/>
    </row>
    <row r="28" ht="15" customHeight="1" s="20">
      <c r="A28" s="24" t="n"/>
      <c r="B28" s="24" t="n"/>
      <c r="C28" s="25" t="n"/>
      <c r="D28" s="25" t="n"/>
      <c r="E28" s="27">
        <f>IFERROR((C28-D28)^2,"")</f>
        <v/>
      </c>
      <c r="F28" s="24" t="n"/>
    </row>
    <row r="29" ht="15" customHeight="1" s="20">
      <c r="A29" s="24" t="n"/>
      <c r="B29" s="24" t="n"/>
      <c r="C29" s="25" t="n"/>
      <c r="D29" s="25" t="n"/>
      <c r="E29" s="27">
        <f>IFERROR((C29-D29)^2,"")</f>
        <v/>
      </c>
      <c r="F29" s="24" t="n"/>
    </row>
    <row r="30" ht="15" customHeight="1" s="20">
      <c r="A30" s="24" t="n"/>
      <c r="B30" s="24" t="n"/>
      <c r="C30" s="25" t="n"/>
      <c r="D30" s="25" t="n"/>
      <c r="E30" s="27">
        <f>IFERROR((C30-D30)^2,"")</f>
        <v/>
      </c>
      <c r="F30" s="24" t="n"/>
    </row>
    <row r="31" ht="15" customHeight="1" s="20">
      <c r="A31" s="24" t="n"/>
      <c r="B31" s="24" t="n"/>
      <c r="C31" s="25" t="n"/>
      <c r="D31" s="25" t="n"/>
      <c r="E31" s="27">
        <f>IFERROR((C31-D31)^2,"")</f>
        <v/>
      </c>
      <c r="F31" s="24" t="n"/>
    </row>
    <row r="32" ht="15" customHeight="1" s="20">
      <c r="A32" s="24" t="n"/>
      <c r="B32" s="24" t="n"/>
      <c r="C32" s="25" t="n"/>
      <c r="D32" s="25" t="n"/>
      <c r="E32" s="27">
        <f>IFERROR((C32-D32)^2,"")</f>
        <v/>
      </c>
      <c r="F32" s="24" t="n"/>
    </row>
    <row r="33" ht="15" customHeight="1" s="20">
      <c r="A33" s="24" t="n"/>
      <c r="B33" s="24" t="n"/>
      <c r="C33" s="25" t="n"/>
      <c r="D33" s="25" t="n"/>
      <c r="E33" s="27">
        <f>IFERROR((C33-D33)^2,"")</f>
        <v/>
      </c>
      <c r="F33" s="24" t="n"/>
    </row>
    <row r="34" ht="15" customHeight="1" s="20">
      <c r="A34" s="24" t="n"/>
      <c r="B34" s="24" t="n"/>
      <c r="C34" s="25" t="n"/>
      <c r="D34" s="25" t="n"/>
      <c r="E34" s="27">
        <f>IFERROR((C34-D34)^2,"")</f>
        <v/>
      </c>
      <c r="F34" s="24" t="n"/>
    </row>
    <row r="36" ht="15" customHeight="1" s="20">
      <c r="A36" s="37" t="inlineStr">
        <is>
          <t>BRIER SCORE</t>
        </is>
      </c>
      <c r="C36" s="38">
        <f>IFERROR(AVERAGE(E5:E34),"")</f>
        <v/>
      </c>
    </row>
    <row r="37" ht="15" customHeight="1" s="20">
      <c r="A37" s="35" t="inlineStr">
        <is>
          <t>Interpretation</t>
        </is>
      </c>
      <c r="C37" s="36">
        <f>IF(C36="","No data yet",IF(C36&lt;0.1,"Excellent",IF(C36&lt;0.15,"Good",IF(C36&lt;0.25,"Fair","Poor"))))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2026-03-30T05:18:40Z</dcterms:created>
  <dcterms:modified xmlns:dcterms="http://purl.org/dc/terms/" xmlns:xsi="http://www.w3.org/2001/XMLSchema-instance" xsi:type="dcterms:W3CDTF">2026-03-30T05:25:21Z</dcterms:modified>
  <cp:revision>0</cp:revision>
</cp:coreProperties>
</file>