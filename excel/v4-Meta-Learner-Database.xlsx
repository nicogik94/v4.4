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og" sheetId="1" state="visible" r:id="rId1"/>
    <sheet xmlns:r="http://schemas.openxmlformats.org/officeDocument/2006/relationships" name="Framework Performance" sheetId="2" state="visible" r:id="rId2"/>
    <sheet xmlns:r="http://schemas.openxmlformats.org/officeDocument/2006/relationships" name="Calibration History" sheetId="3" state="visible" r:id="rId3"/>
    <sheet xmlns:r="http://schemas.openxmlformats.org/officeDocument/2006/relationships" name="Maturit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7C3AED"/>
      <sz val="14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7C3AED"/>
      <sz val="12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6" customWidth="1" min="19" max="19"/>
    <col width="16" customWidth="1" min="20" max="20"/>
    <col width="14" customWidth="1" min="21" max="21"/>
    <col width="10" customWidth="1" min="22" max="22"/>
    <col width="35" customWidth="1" min="23" max="23"/>
  </cols>
  <sheetData>
    <row r="1">
      <c r="A1" s="1" t="inlineStr">
        <is>
          <t>META-LEARNER DATABASE</t>
        </is>
      </c>
    </row>
    <row r="2">
      <c r="A2" s="2" t="inlineStr">
        <is>
          <t>One row per project. Feed after Phase 5 completion.</t>
        </is>
      </c>
    </row>
    <row r="4">
      <c r="A4" s="3" t="inlineStr">
        <is>
          <t>Project #</t>
        </is>
      </c>
      <c r="B4" s="3" t="inlineStr">
        <is>
          <t>Name</t>
        </is>
      </c>
      <c r="C4" s="3" t="inlineStr">
        <is>
          <t>Client</t>
        </is>
      </c>
      <c r="D4" s="3" t="inlineStr">
        <is>
          <t>Industry</t>
        </is>
      </c>
      <c r="E4" s="3" t="inlineStr">
        <is>
          <t>Cynefin Domain</t>
        </is>
      </c>
      <c r="F4" s="3" t="inlineStr">
        <is>
          <t>Complexity (1-5)</t>
        </is>
      </c>
      <c r="G4" s="3" t="inlineStr">
        <is>
          <t>Data Richness (1-5)</t>
        </is>
      </c>
      <c r="H4" s="3" t="inlineStr">
        <is>
          <t>Stakeholders</t>
        </is>
      </c>
      <c r="I4" s="3" t="inlineStr">
        <is>
          <t>Time Constraint</t>
        </is>
      </c>
      <c r="J4" s="3" t="inlineStr">
        <is>
          <t>Uncertainty</t>
        </is>
      </c>
      <c r="K4" s="3" t="inlineStr">
        <is>
          <t>Team Size</t>
        </is>
      </c>
      <c r="L4" s="3" t="inlineStr">
        <is>
          <t>Duration (wks)</t>
        </is>
      </c>
      <c r="M4" s="3" t="inlineStr">
        <is>
          <t>Predicted P(success)</t>
        </is>
      </c>
      <c r="N4" s="3" t="inlineStr">
        <is>
          <t>Actual Success?</t>
        </is>
      </c>
      <c r="O4" s="3" t="inlineStr">
        <is>
          <t>Brier Score</t>
        </is>
      </c>
      <c r="P4" s="3" t="inlineStr">
        <is>
          <t>Predicted Duration</t>
        </is>
      </c>
      <c r="Q4" s="3" t="inlineStr">
        <is>
          <t>Actual Duration</t>
        </is>
      </c>
      <c r="R4" s="3" t="inlineStr">
        <is>
          <t>Duration Error</t>
        </is>
      </c>
      <c r="S4" s="3" t="inlineStr">
        <is>
          <t>Predicted Bottleneck</t>
        </is>
      </c>
      <c r="T4" s="3" t="inlineStr">
        <is>
          <t>Actual Bottleneck</t>
        </is>
      </c>
      <c r="U4" s="3" t="inlineStr">
        <is>
          <t>Bottleneck Match?</t>
        </is>
      </c>
      <c r="V4" s="3" t="inlineStr">
        <is>
          <t>Overall DQ</t>
        </is>
      </c>
      <c r="W4" s="3" t="inlineStr">
        <is>
          <t>Key Learning</t>
        </is>
      </c>
    </row>
    <row r="5">
      <c r="A5" s="4" t="n">
        <v>1</v>
      </c>
      <c r="B5" s="4" t="n"/>
      <c r="C5" s="4" t="n"/>
      <c r="D5" s="4" t="n"/>
      <c r="E5" s="4" t="n"/>
      <c r="F5" s="5" t="n"/>
      <c r="G5" s="5" t="n"/>
      <c r="H5" s="4" t="n"/>
      <c r="I5" s="4" t="n"/>
      <c r="J5" s="4" t="n"/>
      <c r="K5" s="4" t="n"/>
      <c r="L5" s="4" t="n"/>
      <c r="M5" s="5" t="n"/>
      <c r="N5" s="5" t="n"/>
      <c r="O5" s="6">
        <f>IFERROR((M5-IF(N5="Y",1,0))^2,"")</f>
        <v/>
      </c>
      <c r="P5" s="5" t="n"/>
      <c r="Q5" s="4" t="n"/>
      <c r="R5" s="4">
        <f>IFERROR(ABS(P5-Q5),"")</f>
        <v/>
      </c>
      <c r="S5" s="5" t="n"/>
      <c r="T5" s="4" t="n"/>
      <c r="U5" s="4">
        <f>IFERROR(IF(S5=T5,"YES","NO"),"")</f>
        <v/>
      </c>
      <c r="V5" s="5" t="n"/>
      <c r="W5" s="4" t="n"/>
    </row>
    <row r="6">
      <c r="A6" s="4" t="n">
        <v>2</v>
      </c>
      <c r="B6" s="4" t="n"/>
      <c r="C6" s="4" t="n"/>
      <c r="D6" s="4" t="n"/>
      <c r="E6" s="4" t="n"/>
      <c r="F6" s="5" t="n"/>
      <c r="G6" s="5" t="n"/>
      <c r="H6" s="4" t="n"/>
      <c r="I6" s="4" t="n"/>
      <c r="J6" s="4" t="n"/>
      <c r="K6" s="4" t="n"/>
      <c r="L6" s="4" t="n"/>
      <c r="M6" s="5" t="n"/>
      <c r="N6" s="5" t="n"/>
      <c r="O6" s="6">
        <f>IFERROR((M6-IF(N6="Y",1,0))^2,"")</f>
        <v/>
      </c>
      <c r="P6" s="5" t="n"/>
      <c r="Q6" s="4" t="n"/>
      <c r="R6" s="4">
        <f>IFERROR(ABS(P6-Q6),"")</f>
        <v/>
      </c>
      <c r="S6" s="5" t="n"/>
      <c r="T6" s="4" t="n"/>
      <c r="U6" s="4">
        <f>IFERROR(IF(S6=T6,"YES","NO"),"")</f>
        <v/>
      </c>
      <c r="V6" s="5" t="n"/>
      <c r="W6" s="4" t="n"/>
    </row>
    <row r="7">
      <c r="A7" s="4" t="n">
        <v>3</v>
      </c>
      <c r="B7" s="4" t="n"/>
      <c r="C7" s="4" t="n"/>
      <c r="D7" s="4" t="n"/>
      <c r="E7" s="4" t="n"/>
      <c r="F7" s="5" t="n"/>
      <c r="G7" s="5" t="n"/>
      <c r="H7" s="4" t="n"/>
      <c r="I7" s="4" t="n"/>
      <c r="J7" s="4" t="n"/>
      <c r="K7" s="4" t="n"/>
      <c r="L7" s="4" t="n"/>
      <c r="M7" s="5" t="n"/>
      <c r="N7" s="5" t="n"/>
      <c r="O7" s="6">
        <f>IFERROR((M7-IF(N7="Y",1,0))^2,"")</f>
        <v/>
      </c>
      <c r="P7" s="5" t="n"/>
      <c r="Q7" s="4" t="n"/>
      <c r="R7" s="4">
        <f>IFERROR(ABS(P7-Q7),"")</f>
        <v/>
      </c>
      <c r="S7" s="5" t="n"/>
      <c r="T7" s="4" t="n"/>
      <c r="U7" s="4">
        <f>IFERROR(IF(S7=T7,"YES","NO"),"")</f>
        <v/>
      </c>
      <c r="V7" s="5" t="n"/>
      <c r="W7" s="4" t="n"/>
    </row>
    <row r="8">
      <c r="A8" s="4" t="n">
        <v>4</v>
      </c>
      <c r="B8" s="4" t="n"/>
      <c r="C8" s="4" t="n"/>
      <c r="D8" s="4" t="n"/>
      <c r="E8" s="4" t="n"/>
      <c r="F8" s="5" t="n"/>
      <c r="G8" s="5" t="n"/>
      <c r="H8" s="4" t="n"/>
      <c r="I8" s="4" t="n"/>
      <c r="J8" s="4" t="n"/>
      <c r="K8" s="4" t="n"/>
      <c r="L8" s="4" t="n"/>
      <c r="M8" s="5" t="n"/>
      <c r="N8" s="5" t="n"/>
      <c r="O8" s="6">
        <f>IFERROR((M8-IF(N8="Y",1,0))^2,"")</f>
        <v/>
      </c>
      <c r="P8" s="5" t="n"/>
      <c r="Q8" s="4" t="n"/>
      <c r="R8" s="4">
        <f>IFERROR(ABS(P8-Q8),"")</f>
        <v/>
      </c>
      <c r="S8" s="5" t="n"/>
      <c r="T8" s="4" t="n"/>
      <c r="U8" s="4">
        <f>IFERROR(IF(S8=T8,"YES","NO"),"")</f>
        <v/>
      </c>
      <c r="V8" s="5" t="n"/>
      <c r="W8" s="4" t="n"/>
    </row>
    <row r="9">
      <c r="A9" s="4" t="n">
        <v>5</v>
      </c>
      <c r="B9" s="4" t="n"/>
      <c r="C9" s="4" t="n"/>
      <c r="D9" s="4" t="n"/>
      <c r="E9" s="4" t="n"/>
      <c r="F9" s="5" t="n"/>
      <c r="G9" s="5" t="n"/>
      <c r="H9" s="4" t="n"/>
      <c r="I9" s="4" t="n"/>
      <c r="J9" s="4" t="n"/>
      <c r="K9" s="4" t="n"/>
      <c r="L9" s="4" t="n"/>
      <c r="M9" s="5" t="n"/>
      <c r="N9" s="5" t="n"/>
      <c r="O9" s="6">
        <f>IFERROR((M9-IF(N9="Y",1,0))^2,"")</f>
        <v/>
      </c>
      <c r="P9" s="5" t="n"/>
      <c r="Q9" s="4" t="n"/>
      <c r="R9" s="4">
        <f>IFERROR(ABS(P9-Q9),"")</f>
        <v/>
      </c>
      <c r="S9" s="5" t="n"/>
      <c r="T9" s="4" t="n"/>
      <c r="U9" s="4">
        <f>IFERROR(IF(S9=T9,"YES","NO"),"")</f>
        <v/>
      </c>
      <c r="V9" s="5" t="n"/>
      <c r="W9" s="4" t="n"/>
    </row>
    <row r="10">
      <c r="A10" s="4" t="n">
        <v>6</v>
      </c>
      <c r="B10" s="4" t="n"/>
      <c r="C10" s="4" t="n"/>
      <c r="D10" s="4" t="n"/>
      <c r="E10" s="4" t="n"/>
      <c r="F10" s="5" t="n"/>
      <c r="G10" s="5" t="n"/>
      <c r="H10" s="4" t="n"/>
      <c r="I10" s="4" t="n"/>
      <c r="J10" s="4" t="n"/>
      <c r="K10" s="4" t="n"/>
      <c r="L10" s="4" t="n"/>
      <c r="M10" s="5" t="n"/>
      <c r="N10" s="5" t="n"/>
      <c r="O10" s="6">
        <f>IFERROR((M10-IF(N10="Y",1,0))^2,"")</f>
        <v/>
      </c>
      <c r="P10" s="5" t="n"/>
      <c r="Q10" s="4" t="n"/>
      <c r="R10" s="4">
        <f>IFERROR(ABS(P10-Q10),"")</f>
        <v/>
      </c>
      <c r="S10" s="5" t="n"/>
      <c r="T10" s="4" t="n"/>
      <c r="U10" s="4">
        <f>IFERROR(IF(S10=T10,"YES","NO"),"")</f>
        <v/>
      </c>
      <c r="V10" s="5" t="n"/>
      <c r="W10" s="4" t="n"/>
    </row>
    <row r="11">
      <c r="A11" s="4" t="n">
        <v>7</v>
      </c>
      <c r="B11" s="4" t="n"/>
      <c r="C11" s="4" t="n"/>
      <c r="D11" s="4" t="n"/>
      <c r="E11" s="4" t="n"/>
      <c r="F11" s="5" t="n"/>
      <c r="G11" s="5" t="n"/>
      <c r="H11" s="4" t="n"/>
      <c r="I11" s="4" t="n"/>
      <c r="J11" s="4" t="n"/>
      <c r="K11" s="4" t="n"/>
      <c r="L11" s="4" t="n"/>
      <c r="M11" s="5" t="n"/>
      <c r="N11" s="5" t="n"/>
      <c r="O11" s="6">
        <f>IFERROR((M11-IF(N11="Y",1,0))^2,"")</f>
        <v/>
      </c>
      <c r="P11" s="5" t="n"/>
      <c r="Q11" s="4" t="n"/>
      <c r="R11" s="4">
        <f>IFERROR(ABS(P11-Q11),"")</f>
        <v/>
      </c>
      <c r="S11" s="5" t="n"/>
      <c r="T11" s="4" t="n"/>
      <c r="U11" s="4">
        <f>IFERROR(IF(S11=T11,"YES","NO"),"")</f>
        <v/>
      </c>
      <c r="V11" s="5" t="n"/>
      <c r="W11" s="4" t="n"/>
    </row>
    <row r="12">
      <c r="A12" s="4" t="n">
        <v>8</v>
      </c>
      <c r="B12" s="4" t="n"/>
      <c r="C12" s="4" t="n"/>
      <c r="D12" s="4" t="n"/>
      <c r="E12" s="4" t="n"/>
      <c r="F12" s="5" t="n"/>
      <c r="G12" s="5" t="n"/>
      <c r="H12" s="4" t="n"/>
      <c r="I12" s="4" t="n"/>
      <c r="J12" s="4" t="n"/>
      <c r="K12" s="4" t="n"/>
      <c r="L12" s="4" t="n"/>
      <c r="M12" s="5" t="n"/>
      <c r="N12" s="5" t="n"/>
      <c r="O12" s="6">
        <f>IFERROR((M12-IF(N12="Y",1,0))^2,"")</f>
        <v/>
      </c>
      <c r="P12" s="5" t="n"/>
      <c r="Q12" s="4" t="n"/>
      <c r="R12" s="4">
        <f>IFERROR(ABS(P12-Q12),"")</f>
        <v/>
      </c>
      <c r="S12" s="5" t="n"/>
      <c r="T12" s="4" t="n"/>
      <c r="U12" s="4">
        <f>IFERROR(IF(S12=T12,"YES","NO"),"")</f>
        <v/>
      </c>
      <c r="V12" s="5" t="n"/>
      <c r="W12" s="4" t="n"/>
    </row>
    <row r="13">
      <c r="A13" s="4" t="n">
        <v>9</v>
      </c>
      <c r="B13" s="4" t="n"/>
      <c r="C13" s="4" t="n"/>
      <c r="D13" s="4" t="n"/>
      <c r="E13" s="4" t="n"/>
      <c r="F13" s="5" t="n"/>
      <c r="G13" s="5" t="n"/>
      <c r="H13" s="4" t="n"/>
      <c r="I13" s="4" t="n"/>
      <c r="J13" s="4" t="n"/>
      <c r="K13" s="4" t="n"/>
      <c r="L13" s="4" t="n"/>
      <c r="M13" s="5" t="n"/>
      <c r="N13" s="5" t="n"/>
      <c r="O13" s="6">
        <f>IFERROR((M13-IF(N13="Y",1,0))^2,"")</f>
        <v/>
      </c>
      <c r="P13" s="5" t="n"/>
      <c r="Q13" s="4" t="n"/>
      <c r="R13" s="4">
        <f>IFERROR(ABS(P13-Q13),"")</f>
        <v/>
      </c>
      <c r="S13" s="5" t="n"/>
      <c r="T13" s="4" t="n"/>
      <c r="U13" s="4">
        <f>IFERROR(IF(S13=T13,"YES","NO"),"")</f>
        <v/>
      </c>
      <c r="V13" s="5" t="n"/>
      <c r="W13" s="4" t="n"/>
    </row>
    <row r="14">
      <c r="A14" s="4" t="n">
        <v>10</v>
      </c>
      <c r="B14" s="4" t="n"/>
      <c r="C14" s="4" t="n"/>
      <c r="D14" s="4" t="n"/>
      <c r="E14" s="4" t="n"/>
      <c r="F14" s="5" t="n"/>
      <c r="G14" s="5" t="n"/>
      <c r="H14" s="4" t="n"/>
      <c r="I14" s="4" t="n"/>
      <c r="J14" s="4" t="n"/>
      <c r="K14" s="4" t="n"/>
      <c r="L14" s="4" t="n"/>
      <c r="M14" s="5" t="n"/>
      <c r="N14" s="5" t="n"/>
      <c r="O14" s="6">
        <f>IFERROR((M14-IF(N14="Y",1,0))^2,"")</f>
        <v/>
      </c>
      <c r="P14" s="5" t="n"/>
      <c r="Q14" s="4" t="n"/>
      <c r="R14" s="4">
        <f>IFERROR(ABS(P14-Q14),"")</f>
        <v/>
      </c>
      <c r="S14" s="5" t="n"/>
      <c r="T14" s="4" t="n"/>
      <c r="U14" s="4">
        <f>IFERROR(IF(S14=T14,"YES","NO"),"")</f>
        <v/>
      </c>
      <c r="V14" s="5" t="n"/>
      <c r="W14" s="4" t="n"/>
    </row>
    <row r="15">
      <c r="A15" s="4" t="n">
        <v>11</v>
      </c>
      <c r="B15" s="4" t="n"/>
      <c r="C15" s="4" t="n"/>
      <c r="D15" s="4" t="n"/>
      <c r="E15" s="4" t="n"/>
      <c r="F15" s="5" t="n"/>
      <c r="G15" s="5" t="n"/>
      <c r="H15" s="4" t="n"/>
      <c r="I15" s="4" t="n"/>
      <c r="J15" s="4" t="n"/>
      <c r="K15" s="4" t="n"/>
      <c r="L15" s="4" t="n"/>
      <c r="M15" s="5" t="n"/>
      <c r="N15" s="5" t="n"/>
      <c r="O15" s="6">
        <f>IFERROR((M15-IF(N15="Y",1,0))^2,"")</f>
        <v/>
      </c>
      <c r="P15" s="5" t="n"/>
      <c r="Q15" s="4" t="n"/>
      <c r="R15" s="4">
        <f>IFERROR(ABS(P15-Q15),"")</f>
        <v/>
      </c>
      <c r="S15" s="5" t="n"/>
      <c r="T15" s="4" t="n"/>
      <c r="U15" s="4">
        <f>IFERROR(IF(S15=T15,"YES","NO"),"")</f>
        <v/>
      </c>
      <c r="V15" s="5" t="n"/>
      <c r="W15" s="4" t="n"/>
    </row>
    <row r="16">
      <c r="A16" s="4" t="n">
        <v>12</v>
      </c>
      <c r="B16" s="4" t="n"/>
      <c r="C16" s="4" t="n"/>
      <c r="D16" s="4" t="n"/>
      <c r="E16" s="4" t="n"/>
      <c r="F16" s="5" t="n"/>
      <c r="G16" s="5" t="n"/>
      <c r="H16" s="4" t="n"/>
      <c r="I16" s="4" t="n"/>
      <c r="J16" s="4" t="n"/>
      <c r="K16" s="4" t="n"/>
      <c r="L16" s="4" t="n"/>
      <c r="M16" s="5" t="n"/>
      <c r="N16" s="5" t="n"/>
      <c r="O16" s="6">
        <f>IFERROR((M16-IF(N16="Y",1,0))^2,"")</f>
        <v/>
      </c>
      <c r="P16" s="5" t="n"/>
      <c r="Q16" s="4" t="n"/>
      <c r="R16" s="4">
        <f>IFERROR(ABS(P16-Q16),"")</f>
        <v/>
      </c>
      <c r="S16" s="5" t="n"/>
      <c r="T16" s="4" t="n"/>
      <c r="U16" s="4">
        <f>IFERROR(IF(S16=T16,"YES","NO"),"")</f>
        <v/>
      </c>
      <c r="V16" s="5" t="n"/>
      <c r="W16" s="4" t="n"/>
    </row>
    <row r="17">
      <c r="A17" s="4" t="n">
        <v>13</v>
      </c>
      <c r="B17" s="4" t="n"/>
      <c r="C17" s="4" t="n"/>
      <c r="D17" s="4" t="n"/>
      <c r="E17" s="4" t="n"/>
      <c r="F17" s="5" t="n"/>
      <c r="G17" s="5" t="n"/>
      <c r="H17" s="4" t="n"/>
      <c r="I17" s="4" t="n"/>
      <c r="J17" s="4" t="n"/>
      <c r="K17" s="4" t="n"/>
      <c r="L17" s="4" t="n"/>
      <c r="M17" s="5" t="n"/>
      <c r="N17" s="5" t="n"/>
      <c r="O17" s="6">
        <f>IFERROR((M17-IF(N17="Y",1,0))^2,"")</f>
        <v/>
      </c>
      <c r="P17" s="5" t="n"/>
      <c r="Q17" s="4" t="n"/>
      <c r="R17" s="4">
        <f>IFERROR(ABS(P17-Q17),"")</f>
        <v/>
      </c>
      <c r="S17" s="5" t="n"/>
      <c r="T17" s="4" t="n"/>
      <c r="U17" s="4">
        <f>IFERROR(IF(S17=T17,"YES","NO"),"")</f>
        <v/>
      </c>
      <c r="V17" s="5" t="n"/>
      <c r="W17" s="4" t="n"/>
    </row>
    <row r="18">
      <c r="A18" s="4" t="n">
        <v>14</v>
      </c>
      <c r="B18" s="4" t="n"/>
      <c r="C18" s="4" t="n"/>
      <c r="D18" s="4" t="n"/>
      <c r="E18" s="4" t="n"/>
      <c r="F18" s="5" t="n"/>
      <c r="G18" s="5" t="n"/>
      <c r="H18" s="4" t="n"/>
      <c r="I18" s="4" t="n"/>
      <c r="J18" s="4" t="n"/>
      <c r="K18" s="4" t="n"/>
      <c r="L18" s="4" t="n"/>
      <c r="M18" s="5" t="n"/>
      <c r="N18" s="5" t="n"/>
      <c r="O18" s="6">
        <f>IFERROR((M18-IF(N18="Y",1,0))^2,"")</f>
        <v/>
      </c>
      <c r="P18" s="5" t="n"/>
      <c r="Q18" s="4" t="n"/>
      <c r="R18" s="4">
        <f>IFERROR(ABS(P18-Q18),"")</f>
        <v/>
      </c>
      <c r="S18" s="5" t="n"/>
      <c r="T18" s="4" t="n"/>
      <c r="U18" s="4">
        <f>IFERROR(IF(S18=T18,"YES","NO"),"")</f>
        <v/>
      </c>
      <c r="V18" s="5" t="n"/>
      <c r="W18" s="4" t="n"/>
    </row>
    <row r="19">
      <c r="A19" s="4" t="n">
        <v>15</v>
      </c>
      <c r="B19" s="4" t="n"/>
      <c r="C19" s="4" t="n"/>
      <c r="D19" s="4" t="n"/>
      <c r="E19" s="4" t="n"/>
      <c r="F19" s="5" t="n"/>
      <c r="G19" s="5" t="n"/>
      <c r="H19" s="4" t="n"/>
      <c r="I19" s="4" t="n"/>
      <c r="J19" s="4" t="n"/>
      <c r="K19" s="4" t="n"/>
      <c r="L19" s="4" t="n"/>
      <c r="M19" s="5" t="n"/>
      <c r="N19" s="5" t="n"/>
      <c r="O19" s="6">
        <f>IFERROR((M19-IF(N19="Y",1,0))^2,"")</f>
        <v/>
      </c>
      <c r="P19" s="5" t="n"/>
      <c r="Q19" s="4" t="n"/>
      <c r="R19" s="4">
        <f>IFERROR(ABS(P19-Q19),"")</f>
        <v/>
      </c>
      <c r="S19" s="5" t="n"/>
      <c r="T19" s="4" t="n"/>
      <c r="U19" s="4">
        <f>IFERROR(IF(S19=T19,"YES","NO"),"")</f>
        <v/>
      </c>
      <c r="V19" s="5" t="n"/>
      <c r="W19" s="4" t="n"/>
    </row>
    <row r="20">
      <c r="A20" s="4" t="n">
        <v>16</v>
      </c>
      <c r="B20" s="4" t="n"/>
      <c r="C20" s="4" t="n"/>
      <c r="D20" s="4" t="n"/>
      <c r="E20" s="4" t="n"/>
      <c r="F20" s="5" t="n"/>
      <c r="G20" s="5" t="n"/>
      <c r="H20" s="4" t="n"/>
      <c r="I20" s="4" t="n"/>
      <c r="J20" s="4" t="n"/>
      <c r="K20" s="4" t="n"/>
      <c r="L20" s="4" t="n"/>
      <c r="M20" s="5" t="n"/>
      <c r="N20" s="5" t="n"/>
      <c r="O20" s="6">
        <f>IFERROR((M20-IF(N20="Y",1,0))^2,"")</f>
        <v/>
      </c>
      <c r="P20" s="5" t="n"/>
      <c r="Q20" s="4" t="n"/>
      <c r="R20" s="4">
        <f>IFERROR(ABS(P20-Q20),"")</f>
        <v/>
      </c>
      <c r="S20" s="5" t="n"/>
      <c r="T20" s="4" t="n"/>
      <c r="U20" s="4">
        <f>IFERROR(IF(S20=T20,"YES","NO"),"")</f>
        <v/>
      </c>
      <c r="V20" s="5" t="n"/>
      <c r="W20" s="4" t="n"/>
    </row>
    <row r="21">
      <c r="A21" s="4" t="n">
        <v>17</v>
      </c>
      <c r="B21" s="4" t="n"/>
      <c r="C21" s="4" t="n"/>
      <c r="D21" s="4" t="n"/>
      <c r="E21" s="4" t="n"/>
      <c r="F21" s="5" t="n"/>
      <c r="G21" s="5" t="n"/>
      <c r="H21" s="4" t="n"/>
      <c r="I21" s="4" t="n"/>
      <c r="J21" s="4" t="n"/>
      <c r="K21" s="4" t="n"/>
      <c r="L21" s="4" t="n"/>
      <c r="M21" s="5" t="n"/>
      <c r="N21" s="5" t="n"/>
      <c r="O21" s="6">
        <f>IFERROR((M21-IF(N21="Y",1,0))^2,"")</f>
        <v/>
      </c>
      <c r="P21" s="5" t="n"/>
      <c r="Q21" s="4" t="n"/>
      <c r="R21" s="4">
        <f>IFERROR(ABS(P21-Q21),"")</f>
        <v/>
      </c>
      <c r="S21" s="5" t="n"/>
      <c r="T21" s="4" t="n"/>
      <c r="U21" s="4">
        <f>IFERROR(IF(S21=T21,"YES","NO"),"")</f>
        <v/>
      </c>
      <c r="V21" s="5" t="n"/>
      <c r="W21" s="4" t="n"/>
    </row>
    <row r="22">
      <c r="A22" s="4" t="n">
        <v>18</v>
      </c>
      <c r="B22" s="4" t="n"/>
      <c r="C22" s="4" t="n"/>
      <c r="D22" s="4" t="n"/>
      <c r="E22" s="4" t="n"/>
      <c r="F22" s="5" t="n"/>
      <c r="G22" s="5" t="n"/>
      <c r="H22" s="4" t="n"/>
      <c r="I22" s="4" t="n"/>
      <c r="J22" s="4" t="n"/>
      <c r="K22" s="4" t="n"/>
      <c r="L22" s="4" t="n"/>
      <c r="M22" s="5" t="n"/>
      <c r="N22" s="5" t="n"/>
      <c r="O22" s="6">
        <f>IFERROR((M22-IF(N22="Y",1,0))^2,"")</f>
        <v/>
      </c>
      <c r="P22" s="5" t="n"/>
      <c r="Q22" s="4" t="n"/>
      <c r="R22" s="4">
        <f>IFERROR(ABS(P22-Q22),"")</f>
        <v/>
      </c>
      <c r="S22" s="5" t="n"/>
      <c r="T22" s="4" t="n"/>
      <c r="U22" s="4">
        <f>IFERROR(IF(S22=T22,"YES","NO"),"")</f>
        <v/>
      </c>
      <c r="V22" s="5" t="n"/>
      <c r="W22" s="4" t="n"/>
    </row>
    <row r="23">
      <c r="A23" s="4" t="n">
        <v>19</v>
      </c>
      <c r="B23" s="4" t="n"/>
      <c r="C23" s="4" t="n"/>
      <c r="D23" s="4" t="n"/>
      <c r="E23" s="4" t="n"/>
      <c r="F23" s="5" t="n"/>
      <c r="G23" s="5" t="n"/>
      <c r="H23" s="4" t="n"/>
      <c r="I23" s="4" t="n"/>
      <c r="J23" s="4" t="n"/>
      <c r="K23" s="4" t="n"/>
      <c r="L23" s="4" t="n"/>
      <c r="M23" s="5" t="n"/>
      <c r="N23" s="5" t="n"/>
      <c r="O23" s="6">
        <f>IFERROR((M23-IF(N23="Y",1,0))^2,"")</f>
        <v/>
      </c>
      <c r="P23" s="5" t="n"/>
      <c r="Q23" s="4" t="n"/>
      <c r="R23" s="4">
        <f>IFERROR(ABS(P23-Q23),"")</f>
        <v/>
      </c>
      <c r="S23" s="5" t="n"/>
      <c r="T23" s="4" t="n"/>
      <c r="U23" s="4">
        <f>IFERROR(IF(S23=T23,"YES","NO"),"")</f>
        <v/>
      </c>
      <c r="V23" s="5" t="n"/>
      <c r="W23" s="4" t="n"/>
    </row>
    <row r="24">
      <c r="A24" s="4" t="n">
        <v>20</v>
      </c>
      <c r="B24" s="4" t="n"/>
      <c r="C24" s="4" t="n"/>
      <c r="D24" s="4" t="n"/>
      <c r="E24" s="4" t="n"/>
      <c r="F24" s="5" t="n"/>
      <c r="G24" s="5" t="n"/>
      <c r="H24" s="4" t="n"/>
      <c r="I24" s="4" t="n"/>
      <c r="J24" s="4" t="n"/>
      <c r="K24" s="4" t="n"/>
      <c r="L24" s="4" t="n"/>
      <c r="M24" s="5" t="n"/>
      <c r="N24" s="5" t="n"/>
      <c r="O24" s="6">
        <f>IFERROR((M24-IF(N24="Y",1,0))^2,"")</f>
        <v/>
      </c>
      <c r="P24" s="5" t="n"/>
      <c r="Q24" s="4" t="n"/>
      <c r="R24" s="4">
        <f>IFERROR(ABS(P24-Q24),"")</f>
        <v/>
      </c>
      <c r="S24" s="5" t="n"/>
      <c r="T24" s="4" t="n"/>
      <c r="U24" s="4">
        <f>IFERROR(IF(S24=T24,"YES","NO"),"")</f>
        <v/>
      </c>
      <c r="V24" s="5" t="n"/>
      <c r="W24" s="4" t="n"/>
    </row>
    <row r="25">
      <c r="A25" s="4" t="n">
        <v>21</v>
      </c>
      <c r="B25" s="4" t="n"/>
      <c r="C25" s="4" t="n"/>
      <c r="D25" s="4" t="n"/>
      <c r="E25" s="4" t="n"/>
      <c r="F25" s="5" t="n"/>
      <c r="G25" s="5" t="n"/>
      <c r="H25" s="4" t="n"/>
      <c r="I25" s="4" t="n"/>
      <c r="J25" s="4" t="n"/>
      <c r="K25" s="4" t="n"/>
      <c r="L25" s="4" t="n"/>
      <c r="M25" s="5" t="n"/>
      <c r="N25" s="5" t="n"/>
      <c r="O25" s="6">
        <f>IFERROR((M25-IF(N25="Y",1,0))^2,"")</f>
        <v/>
      </c>
      <c r="P25" s="5" t="n"/>
      <c r="Q25" s="4" t="n"/>
      <c r="R25" s="4">
        <f>IFERROR(ABS(P25-Q25),"")</f>
        <v/>
      </c>
      <c r="S25" s="5" t="n"/>
      <c r="T25" s="4" t="n"/>
      <c r="U25" s="4">
        <f>IFERROR(IF(S25=T25,"YES","NO"),"")</f>
        <v/>
      </c>
      <c r="V25" s="5" t="n"/>
      <c r="W25" s="4" t="n"/>
    </row>
    <row r="26">
      <c r="A26" s="4" t="n">
        <v>22</v>
      </c>
      <c r="B26" s="4" t="n"/>
      <c r="C26" s="4" t="n"/>
      <c r="D26" s="4" t="n"/>
      <c r="E26" s="4" t="n"/>
      <c r="F26" s="5" t="n"/>
      <c r="G26" s="5" t="n"/>
      <c r="H26" s="4" t="n"/>
      <c r="I26" s="4" t="n"/>
      <c r="J26" s="4" t="n"/>
      <c r="K26" s="4" t="n"/>
      <c r="L26" s="4" t="n"/>
      <c r="M26" s="5" t="n"/>
      <c r="N26" s="5" t="n"/>
      <c r="O26" s="6">
        <f>IFERROR((M26-IF(N26="Y",1,0))^2,"")</f>
        <v/>
      </c>
      <c r="P26" s="5" t="n"/>
      <c r="Q26" s="4" t="n"/>
      <c r="R26" s="4">
        <f>IFERROR(ABS(P26-Q26),"")</f>
        <v/>
      </c>
      <c r="S26" s="5" t="n"/>
      <c r="T26" s="4" t="n"/>
      <c r="U26" s="4">
        <f>IFERROR(IF(S26=T26,"YES","NO"),"")</f>
        <v/>
      </c>
      <c r="V26" s="5" t="n"/>
      <c r="W26" s="4" t="n"/>
    </row>
    <row r="27">
      <c r="A27" s="4" t="n">
        <v>23</v>
      </c>
      <c r="B27" s="4" t="n"/>
      <c r="C27" s="4" t="n"/>
      <c r="D27" s="4" t="n"/>
      <c r="E27" s="4" t="n"/>
      <c r="F27" s="5" t="n"/>
      <c r="G27" s="5" t="n"/>
      <c r="H27" s="4" t="n"/>
      <c r="I27" s="4" t="n"/>
      <c r="J27" s="4" t="n"/>
      <c r="K27" s="4" t="n"/>
      <c r="L27" s="4" t="n"/>
      <c r="M27" s="5" t="n"/>
      <c r="N27" s="5" t="n"/>
      <c r="O27" s="6">
        <f>IFERROR((M27-IF(N27="Y",1,0))^2,"")</f>
        <v/>
      </c>
      <c r="P27" s="5" t="n"/>
      <c r="Q27" s="4" t="n"/>
      <c r="R27" s="4">
        <f>IFERROR(ABS(P27-Q27),"")</f>
        <v/>
      </c>
      <c r="S27" s="5" t="n"/>
      <c r="T27" s="4" t="n"/>
      <c r="U27" s="4">
        <f>IFERROR(IF(S27=T27,"YES","NO"),"")</f>
        <v/>
      </c>
      <c r="V27" s="5" t="n"/>
      <c r="W27" s="4" t="n"/>
    </row>
    <row r="28">
      <c r="A28" s="4" t="n">
        <v>24</v>
      </c>
      <c r="B28" s="4" t="n"/>
      <c r="C28" s="4" t="n"/>
      <c r="D28" s="4" t="n"/>
      <c r="E28" s="4" t="n"/>
      <c r="F28" s="5" t="n"/>
      <c r="G28" s="5" t="n"/>
      <c r="H28" s="4" t="n"/>
      <c r="I28" s="4" t="n"/>
      <c r="J28" s="4" t="n"/>
      <c r="K28" s="4" t="n"/>
      <c r="L28" s="4" t="n"/>
      <c r="M28" s="5" t="n"/>
      <c r="N28" s="5" t="n"/>
      <c r="O28" s="6">
        <f>IFERROR((M28-IF(N28="Y",1,0))^2,"")</f>
        <v/>
      </c>
      <c r="P28" s="5" t="n"/>
      <c r="Q28" s="4" t="n"/>
      <c r="R28" s="4">
        <f>IFERROR(ABS(P28-Q28),"")</f>
        <v/>
      </c>
      <c r="S28" s="5" t="n"/>
      <c r="T28" s="4" t="n"/>
      <c r="U28" s="4">
        <f>IFERROR(IF(S28=T28,"YES","NO"),"")</f>
        <v/>
      </c>
      <c r="V28" s="5" t="n"/>
      <c r="W28" s="4" t="n"/>
    </row>
    <row r="29">
      <c r="A29" s="4" t="n">
        <v>25</v>
      </c>
      <c r="B29" s="4" t="n"/>
      <c r="C29" s="4" t="n"/>
      <c r="D29" s="4" t="n"/>
      <c r="E29" s="4" t="n"/>
      <c r="F29" s="5" t="n"/>
      <c r="G29" s="5" t="n"/>
      <c r="H29" s="4" t="n"/>
      <c r="I29" s="4" t="n"/>
      <c r="J29" s="4" t="n"/>
      <c r="K29" s="4" t="n"/>
      <c r="L29" s="4" t="n"/>
      <c r="M29" s="5" t="n"/>
      <c r="N29" s="5" t="n"/>
      <c r="O29" s="6">
        <f>IFERROR((M29-IF(N29="Y",1,0))^2,"")</f>
        <v/>
      </c>
      <c r="P29" s="5" t="n"/>
      <c r="Q29" s="4" t="n"/>
      <c r="R29" s="4">
        <f>IFERROR(ABS(P29-Q29),"")</f>
        <v/>
      </c>
      <c r="S29" s="5" t="n"/>
      <c r="T29" s="4" t="n"/>
      <c r="U29" s="4">
        <f>IFERROR(IF(S29=T29,"YES","NO"),"")</f>
        <v/>
      </c>
      <c r="V29" s="5" t="n"/>
      <c r="W29" s="4" t="n"/>
    </row>
    <row r="30">
      <c r="A30" s="4" t="n">
        <v>26</v>
      </c>
      <c r="B30" s="4" t="n"/>
      <c r="C30" s="4" t="n"/>
      <c r="D30" s="4" t="n"/>
      <c r="E30" s="4" t="n"/>
      <c r="F30" s="5" t="n"/>
      <c r="G30" s="5" t="n"/>
      <c r="H30" s="4" t="n"/>
      <c r="I30" s="4" t="n"/>
      <c r="J30" s="4" t="n"/>
      <c r="K30" s="4" t="n"/>
      <c r="L30" s="4" t="n"/>
      <c r="M30" s="5" t="n"/>
      <c r="N30" s="5" t="n"/>
      <c r="O30" s="6">
        <f>IFERROR((M30-IF(N30="Y",1,0))^2,"")</f>
        <v/>
      </c>
      <c r="P30" s="5" t="n"/>
      <c r="Q30" s="4" t="n"/>
      <c r="R30" s="4">
        <f>IFERROR(ABS(P30-Q30),"")</f>
        <v/>
      </c>
      <c r="S30" s="5" t="n"/>
      <c r="T30" s="4" t="n"/>
      <c r="U30" s="4">
        <f>IFERROR(IF(S30=T30,"YES","NO"),"")</f>
        <v/>
      </c>
      <c r="V30" s="5" t="n"/>
      <c r="W30" s="4" t="n"/>
    </row>
    <row r="31">
      <c r="A31" s="4" t="n">
        <v>27</v>
      </c>
      <c r="B31" s="4" t="n"/>
      <c r="C31" s="4" t="n"/>
      <c r="D31" s="4" t="n"/>
      <c r="E31" s="4" t="n"/>
      <c r="F31" s="5" t="n"/>
      <c r="G31" s="5" t="n"/>
      <c r="H31" s="4" t="n"/>
      <c r="I31" s="4" t="n"/>
      <c r="J31" s="4" t="n"/>
      <c r="K31" s="4" t="n"/>
      <c r="L31" s="4" t="n"/>
      <c r="M31" s="5" t="n"/>
      <c r="N31" s="5" t="n"/>
      <c r="O31" s="6">
        <f>IFERROR((M31-IF(N31="Y",1,0))^2,"")</f>
        <v/>
      </c>
      <c r="P31" s="5" t="n"/>
      <c r="Q31" s="4" t="n"/>
      <c r="R31" s="4">
        <f>IFERROR(ABS(P31-Q31),"")</f>
        <v/>
      </c>
      <c r="S31" s="5" t="n"/>
      <c r="T31" s="4" t="n"/>
      <c r="U31" s="4">
        <f>IFERROR(IF(S31=T31,"YES","NO"),"")</f>
        <v/>
      </c>
      <c r="V31" s="5" t="n"/>
      <c r="W31" s="4" t="n"/>
    </row>
    <row r="32">
      <c r="A32" s="4" t="n">
        <v>28</v>
      </c>
      <c r="B32" s="4" t="n"/>
      <c r="C32" s="4" t="n"/>
      <c r="D32" s="4" t="n"/>
      <c r="E32" s="4" t="n"/>
      <c r="F32" s="5" t="n"/>
      <c r="G32" s="5" t="n"/>
      <c r="H32" s="4" t="n"/>
      <c r="I32" s="4" t="n"/>
      <c r="J32" s="4" t="n"/>
      <c r="K32" s="4" t="n"/>
      <c r="L32" s="4" t="n"/>
      <c r="M32" s="5" t="n"/>
      <c r="N32" s="5" t="n"/>
      <c r="O32" s="6">
        <f>IFERROR((M32-IF(N32="Y",1,0))^2,"")</f>
        <v/>
      </c>
      <c r="P32" s="5" t="n"/>
      <c r="Q32" s="4" t="n"/>
      <c r="R32" s="4">
        <f>IFERROR(ABS(P32-Q32),"")</f>
        <v/>
      </c>
      <c r="S32" s="5" t="n"/>
      <c r="T32" s="4" t="n"/>
      <c r="U32" s="4">
        <f>IFERROR(IF(S32=T32,"YES","NO"),"")</f>
        <v/>
      </c>
      <c r="V32" s="5" t="n"/>
      <c r="W32" s="4" t="n"/>
    </row>
    <row r="33">
      <c r="A33" s="4" t="n">
        <v>29</v>
      </c>
      <c r="B33" s="4" t="n"/>
      <c r="C33" s="4" t="n"/>
      <c r="D33" s="4" t="n"/>
      <c r="E33" s="4" t="n"/>
      <c r="F33" s="5" t="n"/>
      <c r="G33" s="5" t="n"/>
      <c r="H33" s="4" t="n"/>
      <c r="I33" s="4" t="n"/>
      <c r="J33" s="4" t="n"/>
      <c r="K33" s="4" t="n"/>
      <c r="L33" s="4" t="n"/>
      <c r="M33" s="5" t="n"/>
      <c r="N33" s="5" t="n"/>
      <c r="O33" s="6">
        <f>IFERROR((M33-IF(N33="Y",1,0))^2,"")</f>
        <v/>
      </c>
      <c r="P33" s="5" t="n"/>
      <c r="Q33" s="4" t="n"/>
      <c r="R33" s="4">
        <f>IFERROR(ABS(P33-Q33),"")</f>
        <v/>
      </c>
      <c r="S33" s="5" t="n"/>
      <c r="T33" s="4" t="n"/>
      <c r="U33" s="4">
        <f>IFERROR(IF(S33=T33,"YES","NO"),"")</f>
        <v/>
      </c>
      <c r="V33" s="5" t="n"/>
      <c r="W33" s="4" t="n"/>
    </row>
    <row r="34">
      <c r="A34" s="4" t="n">
        <v>30</v>
      </c>
      <c r="B34" s="4" t="n"/>
      <c r="C34" s="4" t="n"/>
      <c r="D34" s="4" t="n"/>
      <c r="E34" s="4" t="n"/>
      <c r="F34" s="5" t="n"/>
      <c r="G34" s="5" t="n"/>
      <c r="H34" s="4" t="n"/>
      <c r="I34" s="4" t="n"/>
      <c r="J34" s="4" t="n"/>
      <c r="K34" s="4" t="n"/>
      <c r="L34" s="4" t="n"/>
      <c r="M34" s="5" t="n"/>
      <c r="N34" s="5" t="n"/>
      <c r="O34" s="6">
        <f>IFERROR((M34-IF(N34="Y",1,0))^2,"")</f>
        <v/>
      </c>
      <c r="P34" s="5" t="n"/>
      <c r="Q34" s="4" t="n"/>
      <c r="R34" s="4">
        <f>IFERROR(ABS(P34-Q34),"")</f>
        <v/>
      </c>
      <c r="S34" s="5" t="n"/>
      <c r="T34" s="4" t="n"/>
      <c r="U34" s="4">
        <f>IFERROR(IF(S34=T34,"YES","NO"),"")</f>
        <v/>
      </c>
      <c r="V34" s="5" t="n"/>
      <c r="W34" s="4" t="n"/>
    </row>
    <row r="35">
      <c r="A35" s="4" t="n">
        <v>31</v>
      </c>
      <c r="B35" s="4" t="n"/>
      <c r="C35" s="4" t="n"/>
      <c r="D35" s="4" t="n"/>
      <c r="E35" s="4" t="n"/>
      <c r="F35" s="5" t="n"/>
      <c r="G35" s="5" t="n"/>
      <c r="H35" s="4" t="n"/>
      <c r="I35" s="4" t="n"/>
      <c r="J35" s="4" t="n"/>
      <c r="K35" s="4" t="n"/>
      <c r="L35" s="4" t="n"/>
      <c r="M35" s="5" t="n"/>
      <c r="N35" s="5" t="n"/>
      <c r="O35" s="6">
        <f>IFERROR((M35-IF(N35="Y",1,0))^2,"")</f>
        <v/>
      </c>
      <c r="P35" s="5" t="n"/>
      <c r="Q35" s="4" t="n"/>
      <c r="R35" s="4">
        <f>IFERROR(ABS(P35-Q35),"")</f>
        <v/>
      </c>
      <c r="S35" s="5" t="n"/>
      <c r="T35" s="4" t="n"/>
      <c r="U35" s="4">
        <f>IFERROR(IF(S35=T35,"YES","NO"),"")</f>
        <v/>
      </c>
      <c r="V35" s="5" t="n"/>
      <c r="W35" s="4" t="n"/>
    </row>
    <row r="36">
      <c r="A36" s="4" t="n">
        <v>32</v>
      </c>
      <c r="B36" s="4" t="n"/>
      <c r="C36" s="4" t="n"/>
      <c r="D36" s="4" t="n"/>
      <c r="E36" s="4" t="n"/>
      <c r="F36" s="5" t="n"/>
      <c r="G36" s="5" t="n"/>
      <c r="H36" s="4" t="n"/>
      <c r="I36" s="4" t="n"/>
      <c r="J36" s="4" t="n"/>
      <c r="K36" s="4" t="n"/>
      <c r="L36" s="4" t="n"/>
      <c r="M36" s="5" t="n"/>
      <c r="N36" s="5" t="n"/>
      <c r="O36" s="6">
        <f>IFERROR((M36-IF(N36="Y",1,0))^2,"")</f>
        <v/>
      </c>
      <c r="P36" s="5" t="n"/>
      <c r="Q36" s="4" t="n"/>
      <c r="R36" s="4">
        <f>IFERROR(ABS(P36-Q36),"")</f>
        <v/>
      </c>
      <c r="S36" s="5" t="n"/>
      <c r="T36" s="4" t="n"/>
      <c r="U36" s="4">
        <f>IFERROR(IF(S36=T36,"YES","NO"),"")</f>
        <v/>
      </c>
      <c r="V36" s="5" t="n"/>
      <c r="W36" s="4" t="n"/>
    </row>
    <row r="37">
      <c r="A37" s="4" t="n">
        <v>33</v>
      </c>
      <c r="B37" s="4" t="n"/>
      <c r="C37" s="4" t="n"/>
      <c r="D37" s="4" t="n"/>
      <c r="E37" s="4" t="n"/>
      <c r="F37" s="5" t="n"/>
      <c r="G37" s="5" t="n"/>
      <c r="H37" s="4" t="n"/>
      <c r="I37" s="4" t="n"/>
      <c r="J37" s="4" t="n"/>
      <c r="K37" s="4" t="n"/>
      <c r="L37" s="4" t="n"/>
      <c r="M37" s="5" t="n"/>
      <c r="N37" s="5" t="n"/>
      <c r="O37" s="6">
        <f>IFERROR((M37-IF(N37="Y",1,0))^2,"")</f>
        <v/>
      </c>
      <c r="P37" s="5" t="n"/>
      <c r="Q37" s="4" t="n"/>
      <c r="R37" s="4">
        <f>IFERROR(ABS(P37-Q37),"")</f>
        <v/>
      </c>
      <c r="S37" s="5" t="n"/>
      <c r="T37" s="4" t="n"/>
      <c r="U37" s="4">
        <f>IFERROR(IF(S37=T37,"YES","NO"),"")</f>
        <v/>
      </c>
      <c r="V37" s="5" t="n"/>
      <c r="W37" s="4" t="n"/>
    </row>
    <row r="38">
      <c r="A38" s="4" t="n">
        <v>34</v>
      </c>
      <c r="B38" s="4" t="n"/>
      <c r="C38" s="4" t="n"/>
      <c r="D38" s="4" t="n"/>
      <c r="E38" s="4" t="n"/>
      <c r="F38" s="5" t="n"/>
      <c r="G38" s="5" t="n"/>
      <c r="H38" s="4" t="n"/>
      <c r="I38" s="4" t="n"/>
      <c r="J38" s="4" t="n"/>
      <c r="K38" s="4" t="n"/>
      <c r="L38" s="4" t="n"/>
      <c r="M38" s="5" t="n"/>
      <c r="N38" s="5" t="n"/>
      <c r="O38" s="6">
        <f>IFERROR((M38-IF(N38="Y",1,0))^2,"")</f>
        <v/>
      </c>
      <c r="P38" s="5" t="n"/>
      <c r="Q38" s="4" t="n"/>
      <c r="R38" s="4">
        <f>IFERROR(ABS(P38-Q38),"")</f>
        <v/>
      </c>
      <c r="S38" s="5" t="n"/>
      <c r="T38" s="4" t="n"/>
      <c r="U38" s="4">
        <f>IFERROR(IF(S38=T38,"YES","NO"),"")</f>
        <v/>
      </c>
      <c r="V38" s="5" t="n"/>
      <c r="W38" s="4" t="n"/>
    </row>
    <row r="39">
      <c r="A39" s="4" t="n">
        <v>35</v>
      </c>
      <c r="B39" s="4" t="n"/>
      <c r="C39" s="4" t="n"/>
      <c r="D39" s="4" t="n"/>
      <c r="E39" s="4" t="n"/>
      <c r="F39" s="5" t="n"/>
      <c r="G39" s="5" t="n"/>
      <c r="H39" s="4" t="n"/>
      <c r="I39" s="4" t="n"/>
      <c r="J39" s="4" t="n"/>
      <c r="K39" s="4" t="n"/>
      <c r="L39" s="4" t="n"/>
      <c r="M39" s="5" t="n"/>
      <c r="N39" s="5" t="n"/>
      <c r="O39" s="6">
        <f>IFERROR((M39-IF(N39="Y",1,0))^2,"")</f>
        <v/>
      </c>
      <c r="P39" s="5" t="n"/>
      <c r="Q39" s="4" t="n"/>
      <c r="R39" s="4">
        <f>IFERROR(ABS(P39-Q39),"")</f>
        <v/>
      </c>
      <c r="S39" s="5" t="n"/>
      <c r="T39" s="4" t="n"/>
      <c r="U39" s="4">
        <f>IFERROR(IF(S39=T39,"YES","NO"),"")</f>
        <v/>
      </c>
      <c r="V39" s="5" t="n"/>
      <c r="W39" s="4" t="n"/>
    </row>
    <row r="40">
      <c r="A40" s="4" t="n">
        <v>36</v>
      </c>
      <c r="B40" s="4" t="n"/>
      <c r="C40" s="4" t="n"/>
      <c r="D40" s="4" t="n"/>
      <c r="E40" s="4" t="n"/>
      <c r="F40" s="5" t="n"/>
      <c r="G40" s="5" t="n"/>
      <c r="H40" s="4" t="n"/>
      <c r="I40" s="4" t="n"/>
      <c r="J40" s="4" t="n"/>
      <c r="K40" s="4" t="n"/>
      <c r="L40" s="4" t="n"/>
      <c r="M40" s="5" t="n"/>
      <c r="N40" s="5" t="n"/>
      <c r="O40" s="6">
        <f>IFERROR((M40-IF(N40="Y",1,0))^2,"")</f>
        <v/>
      </c>
      <c r="P40" s="5" t="n"/>
      <c r="Q40" s="4" t="n"/>
      <c r="R40" s="4">
        <f>IFERROR(ABS(P40-Q40),"")</f>
        <v/>
      </c>
      <c r="S40" s="5" t="n"/>
      <c r="T40" s="4" t="n"/>
      <c r="U40" s="4">
        <f>IFERROR(IF(S40=T40,"YES","NO"),"")</f>
        <v/>
      </c>
      <c r="V40" s="5" t="n"/>
      <c r="W40" s="4" t="n"/>
    </row>
    <row r="41">
      <c r="A41" s="4" t="n">
        <v>37</v>
      </c>
      <c r="B41" s="4" t="n"/>
      <c r="C41" s="4" t="n"/>
      <c r="D41" s="4" t="n"/>
      <c r="E41" s="4" t="n"/>
      <c r="F41" s="5" t="n"/>
      <c r="G41" s="5" t="n"/>
      <c r="H41" s="4" t="n"/>
      <c r="I41" s="4" t="n"/>
      <c r="J41" s="4" t="n"/>
      <c r="K41" s="4" t="n"/>
      <c r="L41" s="4" t="n"/>
      <c r="M41" s="5" t="n"/>
      <c r="N41" s="5" t="n"/>
      <c r="O41" s="6">
        <f>IFERROR((M41-IF(N41="Y",1,0))^2,"")</f>
        <v/>
      </c>
      <c r="P41" s="5" t="n"/>
      <c r="Q41" s="4" t="n"/>
      <c r="R41" s="4">
        <f>IFERROR(ABS(P41-Q41),"")</f>
        <v/>
      </c>
      <c r="S41" s="5" t="n"/>
      <c r="T41" s="4" t="n"/>
      <c r="U41" s="4">
        <f>IFERROR(IF(S41=T41,"YES","NO"),"")</f>
        <v/>
      </c>
      <c r="V41" s="5" t="n"/>
      <c r="W41" s="4" t="n"/>
    </row>
    <row r="42">
      <c r="A42" s="4" t="n">
        <v>38</v>
      </c>
      <c r="B42" s="4" t="n"/>
      <c r="C42" s="4" t="n"/>
      <c r="D42" s="4" t="n"/>
      <c r="E42" s="4" t="n"/>
      <c r="F42" s="5" t="n"/>
      <c r="G42" s="5" t="n"/>
      <c r="H42" s="4" t="n"/>
      <c r="I42" s="4" t="n"/>
      <c r="J42" s="4" t="n"/>
      <c r="K42" s="4" t="n"/>
      <c r="L42" s="4" t="n"/>
      <c r="M42" s="5" t="n"/>
      <c r="N42" s="5" t="n"/>
      <c r="O42" s="6">
        <f>IFERROR((M42-IF(N42="Y",1,0))^2,"")</f>
        <v/>
      </c>
      <c r="P42" s="5" t="n"/>
      <c r="Q42" s="4" t="n"/>
      <c r="R42" s="4">
        <f>IFERROR(ABS(P42-Q42),"")</f>
        <v/>
      </c>
      <c r="S42" s="5" t="n"/>
      <c r="T42" s="4" t="n"/>
      <c r="U42" s="4">
        <f>IFERROR(IF(S42=T42,"YES","NO"),"")</f>
        <v/>
      </c>
      <c r="V42" s="5" t="n"/>
      <c r="W42" s="4" t="n"/>
    </row>
    <row r="43">
      <c r="A43" s="4" t="n">
        <v>39</v>
      </c>
      <c r="B43" s="4" t="n"/>
      <c r="C43" s="4" t="n"/>
      <c r="D43" s="4" t="n"/>
      <c r="E43" s="4" t="n"/>
      <c r="F43" s="5" t="n"/>
      <c r="G43" s="5" t="n"/>
      <c r="H43" s="4" t="n"/>
      <c r="I43" s="4" t="n"/>
      <c r="J43" s="4" t="n"/>
      <c r="K43" s="4" t="n"/>
      <c r="L43" s="4" t="n"/>
      <c r="M43" s="5" t="n"/>
      <c r="N43" s="5" t="n"/>
      <c r="O43" s="6">
        <f>IFERROR((M43-IF(N43="Y",1,0))^2,"")</f>
        <v/>
      </c>
      <c r="P43" s="5" t="n"/>
      <c r="Q43" s="4" t="n"/>
      <c r="R43" s="4">
        <f>IFERROR(ABS(P43-Q43),"")</f>
        <v/>
      </c>
      <c r="S43" s="5" t="n"/>
      <c r="T43" s="4" t="n"/>
      <c r="U43" s="4">
        <f>IFERROR(IF(S43=T43,"YES","NO"),"")</f>
        <v/>
      </c>
      <c r="V43" s="5" t="n"/>
      <c r="W43" s="4" t="n"/>
    </row>
    <row r="44">
      <c r="A44" s="4" t="n">
        <v>40</v>
      </c>
      <c r="B44" s="4" t="n"/>
      <c r="C44" s="4" t="n"/>
      <c r="D44" s="4" t="n"/>
      <c r="E44" s="4" t="n"/>
      <c r="F44" s="5" t="n"/>
      <c r="G44" s="5" t="n"/>
      <c r="H44" s="4" t="n"/>
      <c r="I44" s="4" t="n"/>
      <c r="J44" s="4" t="n"/>
      <c r="K44" s="4" t="n"/>
      <c r="L44" s="4" t="n"/>
      <c r="M44" s="5" t="n"/>
      <c r="N44" s="5" t="n"/>
      <c r="O44" s="6">
        <f>IFERROR((M44-IF(N44="Y",1,0))^2,"")</f>
        <v/>
      </c>
      <c r="P44" s="5" t="n"/>
      <c r="Q44" s="4" t="n"/>
      <c r="R44" s="4">
        <f>IFERROR(ABS(P44-Q44),"")</f>
        <v/>
      </c>
      <c r="S44" s="5" t="n"/>
      <c r="T44" s="4" t="n"/>
      <c r="U44" s="4">
        <f>IFERROR(IF(S44=T44,"YES","NO"),"")</f>
        <v/>
      </c>
      <c r="V44" s="5" t="n"/>
      <c r="W44" s="4" t="n"/>
    </row>
    <row r="45">
      <c r="A45" s="4" t="n">
        <v>41</v>
      </c>
      <c r="B45" s="4" t="n"/>
      <c r="C45" s="4" t="n"/>
      <c r="D45" s="4" t="n"/>
      <c r="E45" s="4" t="n"/>
      <c r="F45" s="5" t="n"/>
      <c r="G45" s="5" t="n"/>
      <c r="H45" s="4" t="n"/>
      <c r="I45" s="4" t="n"/>
      <c r="J45" s="4" t="n"/>
      <c r="K45" s="4" t="n"/>
      <c r="L45" s="4" t="n"/>
      <c r="M45" s="5" t="n"/>
      <c r="N45" s="5" t="n"/>
      <c r="O45" s="6">
        <f>IFERROR((M45-IF(N45="Y",1,0))^2,"")</f>
        <v/>
      </c>
      <c r="P45" s="5" t="n"/>
      <c r="Q45" s="4" t="n"/>
      <c r="R45" s="4">
        <f>IFERROR(ABS(P45-Q45),"")</f>
        <v/>
      </c>
      <c r="S45" s="5" t="n"/>
      <c r="T45" s="4" t="n"/>
      <c r="U45" s="4">
        <f>IFERROR(IF(S45=T45,"YES","NO"),"")</f>
        <v/>
      </c>
      <c r="V45" s="5" t="n"/>
      <c r="W45" s="4" t="n"/>
    </row>
    <row r="46">
      <c r="A46" s="4" t="n">
        <v>42</v>
      </c>
      <c r="B46" s="4" t="n"/>
      <c r="C46" s="4" t="n"/>
      <c r="D46" s="4" t="n"/>
      <c r="E46" s="4" t="n"/>
      <c r="F46" s="5" t="n"/>
      <c r="G46" s="5" t="n"/>
      <c r="H46" s="4" t="n"/>
      <c r="I46" s="4" t="n"/>
      <c r="J46" s="4" t="n"/>
      <c r="K46" s="4" t="n"/>
      <c r="L46" s="4" t="n"/>
      <c r="M46" s="5" t="n"/>
      <c r="N46" s="5" t="n"/>
      <c r="O46" s="6">
        <f>IFERROR((M46-IF(N46="Y",1,0))^2,"")</f>
        <v/>
      </c>
      <c r="P46" s="5" t="n"/>
      <c r="Q46" s="4" t="n"/>
      <c r="R46" s="4">
        <f>IFERROR(ABS(P46-Q46),"")</f>
        <v/>
      </c>
      <c r="S46" s="5" t="n"/>
      <c r="T46" s="4" t="n"/>
      <c r="U46" s="4">
        <f>IFERROR(IF(S46=T46,"YES","NO"),"")</f>
        <v/>
      </c>
      <c r="V46" s="5" t="n"/>
      <c r="W46" s="4" t="n"/>
    </row>
    <row r="47">
      <c r="A47" s="4" t="n">
        <v>43</v>
      </c>
      <c r="B47" s="4" t="n"/>
      <c r="C47" s="4" t="n"/>
      <c r="D47" s="4" t="n"/>
      <c r="E47" s="4" t="n"/>
      <c r="F47" s="5" t="n"/>
      <c r="G47" s="5" t="n"/>
      <c r="H47" s="4" t="n"/>
      <c r="I47" s="4" t="n"/>
      <c r="J47" s="4" t="n"/>
      <c r="K47" s="4" t="n"/>
      <c r="L47" s="4" t="n"/>
      <c r="M47" s="5" t="n"/>
      <c r="N47" s="5" t="n"/>
      <c r="O47" s="6">
        <f>IFERROR((M47-IF(N47="Y",1,0))^2,"")</f>
        <v/>
      </c>
      <c r="P47" s="5" t="n"/>
      <c r="Q47" s="4" t="n"/>
      <c r="R47" s="4">
        <f>IFERROR(ABS(P47-Q47),"")</f>
        <v/>
      </c>
      <c r="S47" s="5" t="n"/>
      <c r="T47" s="4" t="n"/>
      <c r="U47" s="4">
        <f>IFERROR(IF(S47=T47,"YES","NO"),"")</f>
        <v/>
      </c>
      <c r="V47" s="5" t="n"/>
      <c r="W47" s="4" t="n"/>
    </row>
    <row r="48">
      <c r="A48" s="4" t="n">
        <v>44</v>
      </c>
      <c r="B48" s="4" t="n"/>
      <c r="C48" s="4" t="n"/>
      <c r="D48" s="4" t="n"/>
      <c r="E48" s="4" t="n"/>
      <c r="F48" s="5" t="n"/>
      <c r="G48" s="5" t="n"/>
      <c r="H48" s="4" t="n"/>
      <c r="I48" s="4" t="n"/>
      <c r="J48" s="4" t="n"/>
      <c r="K48" s="4" t="n"/>
      <c r="L48" s="4" t="n"/>
      <c r="M48" s="5" t="n"/>
      <c r="N48" s="5" t="n"/>
      <c r="O48" s="6">
        <f>IFERROR((M48-IF(N48="Y",1,0))^2,"")</f>
        <v/>
      </c>
      <c r="P48" s="5" t="n"/>
      <c r="Q48" s="4" t="n"/>
      <c r="R48" s="4">
        <f>IFERROR(ABS(P48-Q48),"")</f>
        <v/>
      </c>
      <c r="S48" s="5" t="n"/>
      <c r="T48" s="4" t="n"/>
      <c r="U48" s="4">
        <f>IFERROR(IF(S48=T48,"YES","NO"),"")</f>
        <v/>
      </c>
      <c r="V48" s="5" t="n"/>
      <c r="W48" s="4" t="n"/>
    </row>
    <row r="49">
      <c r="A49" s="4" t="n">
        <v>45</v>
      </c>
      <c r="B49" s="4" t="n"/>
      <c r="C49" s="4" t="n"/>
      <c r="D49" s="4" t="n"/>
      <c r="E49" s="4" t="n"/>
      <c r="F49" s="5" t="n"/>
      <c r="G49" s="5" t="n"/>
      <c r="H49" s="4" t="n"/>
      <c r="I49" s="4" t="n"/>
      <c r="J49" s="4" t="n"/>
      <c r="K49" s="4" t="n"/>
      <c r="L49" s="4" t="n"/>
      <c r="M49" s="5" t="n"/>
      <c r="N49" s="5" t="n"/>
      <c r="O49" s="6">
        <f>IFERROR((M49-IF(N49="Y",1,0))^2,"")</f>
        <v/>
      </c>
      <c r="P49" s="5" t="n"/>
      <c r="Q49" s="4" t="n"/>
      <c r="R49" s="4">
        <f>IFERROR(ABS(P49-Q49),"")</f>
        <v/>
      </c>
      <c r="S49" s="5" t="n"/>
      <c r="T49" s="4" t="n"/>
      <c r="U49" s="4">
        <f>IFERROR(IF(S49=T49,"YES","NO"),"")</f>
        <v/>
      </c>
      <c r="V49" s="5" t="n"/>
      <c r="W49" s="4" t="n"/>
    </row>
    <row r="50">
      <c r="A50" s="4" t="n">
        <v>46</v>
      </c>
      <c r="B50" s="4" t="n"/>
      <c r="C50" s="4" t="n"/>
      <c r="D50" s="4" t="n"/>
      <c r="E50" s="4" t="n"/>
      <c r="F50" s="5" t="n"/>
      <c r="G50" s="5" t="n"/>
      <c r="H50" s="4" t="n"/>
      <c r="I50" s="4" t="n"/>
      <c r="J50" s="4" t="n"/>
      <c r="K50" s="4" t="n"/>
      <c r="L50" s="4" t="n"/>
      <c r="M50" s="5" t="n"/>
      <c r="N50" s="5" t="n"/>
      <c r="O50" s="6">
        <f>IFERROR((M50-IF(N50="Y",1,0))^2,"")</f>
        <v/>
      </c>
      <c r="P50" s="5" t="n"/>
      <c r="Q50" s="4" t="n"/>
      <c r="R50" s="4">
        <f>IFERROR(ABS(P50-Q50),"")</f>
        <v/>
      </c>
      <c r="S50" s="5" t="n"/>
      <c r="T50" s="4" t="n"/>
      <c r="U50" s="4">
        <f>IFERROR(IF(S50=T50,"YES","NO"),"")</f>
        <v/>
      </c>
      <c r="V50" s="5" t="n"/>
      <c r="W50" s="4" t="n"/>
    </row>
    <row r="51">
      <c r="A51" s="4" t="n">
        <v>47</v>
      </c>
      <c r="B51" s="4" t="n"/>
      <c r="C51" s="4" t="n"/>
      <c r="D51" s="4" t="n"/>
      <c r="E51" s="4" t="n"/>
      <c r="F51" s="5" t="n"/>
      <c r="G51" s="5" t="n"/>
      <c r="H51" s="4" t="n"/>
      <c r="I51" s="4" t="n"/>
      <c r="J51" s="4" t="n"/>
      <c r="K51" s="4" t="n"/>
      <c r="L51" s="4" t="n"/>
      <c r="M51" s="5" t="n"/>
      <c r="N51" s="5" t="n"/>
      <c r="O51" s="6">
        <f>IFERROR((M51-IF(N51="Y",1,0))^2,"")</f>
        <v/>
      </c>
      <c r="P51" s="5" t="n"/>
      <c r="Q51" s="4" t="n"/>
      <c r="R51" s="4">
        <f>IFERROR(ABS(P51-Q51),"")</f>
        <v/>
      </c>
      <c r="S51" s="5" t="n"/>
      <c r="T51" s="4" t="n"/>
      <c r="U51" s="4">
        <f>IFERROR(IF(S51=T51,"YES","NO"),"")</f>
        <v/>
      </c>
      <c r="V51" s="5" t="n"/>
      <c r="W51" s="4" t="n"/>
    </row>
    <row r="52">
      <c r="A52" s="4" t="n">
        <v>48</v>
      </c>
      <c r="B52" s="4" t="n"/>
      <c r="C52" s="4" t="n"/>
      <c r="D52" s="4" t="n"/>
      <c r="E52" s="4" t="n"/>
      <c r="F52" s="5" t="n"/>
      <c r="G52" s="5" t="n"/>
      <c r="H52" s="4" t="n"/>
      <c r="I52" s="4" t="n"/>
      <c r="J52" s="4" t="n"/>
      <c r="K52" s="4" t="n"/>
      <c r="L52" s="4" t="n"/>
      <c r="M52" s="5" t="n"/>
      <c r="N52" s="5" t="n"/>
      <c r="O52" s="6">
        <f>IFERROR((M52-IF(N52="Y",1,0))^2,"")</f>
        <v/>
      </c>
      <c r="P52" s="5" t="n"/>
      <c r="Q52" s="4" t="n"/>
      <c r="R52" s="4">
        <f>IFERROR(ABS(P52-Q52),"")</f>
        <v/>
      </c>
      <c r="S52" s="5" t="n"/>
      <c r="T52" s="4" t="n"/>
      <c r="U52" s="4">
        <f>IFERROR(IF(S52=T52,"YES","NO"),"")</f>
        <v/>
      </c>
      <c r="V52" s="5" t="n"/>
      <c r="W52" s="4" t="n"/>
    </row>
    <row r="53">
      <c r="A53" s="4" t="n">
        <v>49</v>
      </c>
      <c r="B53" s="4" t="n"/>
      <c r="C53" s="4" t="n"/>
      <c r="D53" s="4" t="n"/>
      <c r="E53" s="4" t="n"/>
      <c r="F53" s="5" t="n"/>
      <c r="G53" s="5" t="n"/>
      <c r="H53" s="4" t="n"/>
      <c r="I53" s="4" t="n"/>
      <c r="J53" s="4" t="n"/>
      <c r="K53" s="4" t="n"/>
      <c r="L53" s="4" t="n"/>
      <c r="M53" s="5" t="n"/>
      <c r="N53" s="5" t="n"/>
      <c r="O53" s="6">
        <f>IFERROR((M53-IF(N53="Y",1,0))^2,"")</f>
        <v/>
      </c>
      <c r="P53" s="5" t="n"/>
      <c r="Q53" s="4" t="n"/>
      <c r="R53" s="4">
        <f>IFERROR(ABS(P53-Q53),"")</f>
        <v/>
      </c>
      <c r="S53" s="5" t="n"/>
      <c r="T53" s="4" t="n"/>
      <c r="U53" s="4">
        <f>IFERROR(IF(S53=T53,"YES","NO"),"")</f>
        <v/>
      </c>
      <c r="V53" s="5" t="n"/>
      <c r="W53" s="4" t="n"/>
    </row>
    <row r="54">
      <c r="A54" s="4" t="n">
        <v>50</v>
      </c>
      <c r="B54" s="4" t="n"/>
      <c r="C54" s="4" t="n"/>
      <c r="D54" s="4" t="n"/>
      <c r="E54" s="4" t="n"/>
      <c r="F54" s="5" t="n"/>
      <c r="G54" s="5" t="n"/>
      <c r="H54" s="4" t="n"/>
      <c r="I54" s="4" t="n"/>
      <c r="J54" s="4" t="n"/>
      <c r="K54" s="4" t="n"/>
      <c r="L54" s="4" t="n"/>
      <c r="M54" s="5" t="n"/>
      <c r="N54" s="5" t="n"/>
      <c r="O54" s="6">
        <f>IFERROR((M54-IF(N54="Y",1,0))^2,"")</f>
        <v/>
      </c>
      <c r="P54" s="5" t="n"/>
      <c r="Q54" s="4" t="n"/>
      <c r="R54" s="4">
        <f>IFERROR(ABS(P54-Q54),"")</f>
        <v/>
      </c>
      <c r="S54" s="5" t="n"/>
      <c r="T54" s="4" t="n"/>
      <c r="U54" s="4">
        <f>IFERROR(IF(S54=T54,"YES","NO"),"")</f>
        <v/>
      </c>
      <c r="V54" s="5" t="n"/>
      <c r="W54" s="4" t="n"/>
    </row>
    <row r="56">
      <c r="A56" s="7" t="inlineStr">
        <is>
          <t>ROLLING BRIER SCORE</t>
        </is>
      </c>
      <c r="O56" s="8">
        <f>IFERROR(AVERAGE(O5:O54),"")</f>
        <v/>
      </c>
    </row>
    <row r="57">
      <c r="A57" s="9" t="inlineStr">
        <is>
          <t>Bottleneck Prediction Accuracy</t>
        </is>
      </c>
      <c r="O57" s="10">
        <f>IFERROR(COUNTIF(U5:U54,"YES")/COUNTA(U5:U54),"")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4" customWidth="1" min="5" max="5"/>
    <col width="16" customWidth="1" min="6" max="6"/>
    <col width="10" customWidth="1" min="7" max="7"/>
    <col width="30" customWidth="1" min="8" max="8"/>
  </cols>
  <sheetData>
    <row r="1">
      <c r="A1" s="1" t="inlineStr">
        <is>
          <t>FRAMEWORK PERFORMANCE DATABASE</t>
        </is>
      </c>
    </row>
    <row r="2">
      <c r="A2" s="2" t="inlineStr">
        <is>
          <t>One row per project × framework. Track insight, time, and decision impact.</t>
        </is>
      </c>
    </row>
    <row r="4">
      <c r="A4" s="3" t="inlineStr">
        <is>
          <t>Project #</t>
        </is>
      </c>
      <c r="B4" s="3" t="inlineStr">
        <is>
          <t>Framework</t>
        </is>
      </c>
      <c r="C4" s="3" t="inlineStr">
        <is>
          <t>Phase Applied</t>
        </is>
      </c>
      <c r="D4" s="3" t="inlineStr">
        <is>
          <t>Insight Score (0-10)</t>
        </is>
      </c>
      <c r="E4" s="3" t="inlineStr">
        <is>
          <t>Time Cost (hrs)</t>
        </is>
      </c>
      <c r="F4" s="3" t="inlineStr">
        <is>
          <t>Changed Decision?</t>
        </is>
      </c>
      <c r="G4" s="3" t="inlineStr">
        <is>
          <t>ENBS</t>
        </is>
      </c>
      <c r="H4" s="3" t="inlineStr">
        <is>
          <t>Notes</t>
        </is>
      </c>
    </row>
    <row r="5">
      <c r="A5" s="4" t="n"/>
      <c r="B5" s="4" t="n"/>
      <c r="C5" s="4" t="n"/>
      <c r="D5" s="5" t="n"/>
      <c r="E5" s="5" t="n"/>
      <c r="F5" s="5" t="n"/>
      <c r="G5" s="4" t="n"/>
      <c r="H5" s="4" t="n"/>
    </row>
    <row r="6">
      <c r="A6" s="4" t="n"/>
      <c r="B6" s="4" t="n"/>
      <c r="C6" s="4" t="n"/>
      <c r="D6" s="5" t="n"/>
      <c r="E6" s="5" t="n"/>
      <c r="F6" s="5" t="n"/>
      <c r="G6" s="4" t="n"/>
      <c r="H6" s="4" t="n"/>
    </row>
    <row r="7">
      <c r="A7" s="4" t="n"/>
      <c r="B7" s="4" t="n"/>
      <c r="C7" s="4" t="n"/>
      <c r="D7" s="5" t="n"/>
      <c r="E7" s="5" t="n"/>
      <c r="F7" s="5" t="n"/>
      <c r="G7" s="4" t="n"/>
      <c r="H7" s="4" t="n"/>
    </row>
    <row r="8">
      <c r="A8" s="4" t="n"/>
      <c r="B8" s="4" t="n"/>
      <c r="C8" s="4" t="n"/>
      <c r="D8" s="5" t="n"/>
      <c r="E8" s="5" t="n"/>
      <c r="F8" s="5" t="n"/>
      <c r="G8" s="4" t="n"/>
      <c r="H8" s="4" t="n"/>
    </row>
    <row r="9">
      <c r="A9" s="4" t="n"/>
      <c r="B9" s="4" t="n"/>
      <c r="C9" s="4" t="n"/>
      <c r="D9" s="5" t="n"/>
      <c r="E9" s="5" t="n"/>
      <c r="F9" s="5" t="n"/>
      <c r="G9" s="4" t="n"/>
      <c r="H9" s="4" t="n"/>
    </row>
    <row r="10">
      <c r="A10" s="4" t="n"/>
      <c r="B10" s="4" t="n"/>
      <c r="C10" s="4" t="n"/>
      <c r="D10" s="5" t="n"/>
      <c r="E10" s="5" t="n"/>
      <c r="F10" s="5" t="n"/>
      <c r="G10" s="4" t="n"/>
      <c r="H10" s="4" t="n"/>
    </row>
    <row r="11">
      <c r="A11" s="4" t="n"/>
      <c r="B11" s="4" t="n"/>
      <c r="C11" s="4" t="n"/>
      <c r="D11" s="5" t="n"/>
      <c r="E11" s="5" t="n"/>
      <c r="F11" s="5" t="n"/>
      <c r="G11" s="4" t="n"/>
      <c r="H11" s="4" t="n"/>
    </row>
    <row r="12">
      <c r="A12" s="4" t="n"/>
      <c r="B12" s="4" t="n"/>
      <c r="C12" s="4" t="n"/>
      <c r="D12" s="5" t="n"/>
      <c r="E12" s="5" t="n"/>
      <c r="F12" s="5" t="n"/>
      <c r="G12" s="4" t="n"/>
      <c r="H12" s="4" t="n"/>
    </row>
    <row r="13">
      <c r="A13" s="4" t="n"/>
      <c r="B13" s="4" t="n"/>
      <c r="C13" s="4" t="n"/>
      <c r="D13" s="5" t="n"/>
      <c r="E13" s="5" t="n"/>
      <c r="F13" s="5" t="n"/>
      <c r="G13" s="4" t="n"/>
      <c r="H13" s="4" t="n"/>
    </row>
    <row r="14">
      <c r="A14" s="4" t="n"/>
      <c r="B14" s="4" t="n"/>
      <c r="C14" s="4" t="n"/>
      <c r="D14" s="5" t="n"/>
      <c r="E14" s="5" t="n"/>
      <c r="F14" s="5" t="n"/>
      <c r="G14" s="4" t="n"/>
      <c r="H14" s="4" t="n"/>
    </row>
    <row r="15">
      <c r="A15" s="4" t="n"/>
      <c r="B15" s="4" t="n"/>
      <c r="C15" s="4" t="n"/>
      <c r="D15" s="5" t="n"/>
      <c r="E15" s="5" t="n"/>
      <c r="F15" s="5" t="n"/>
      <c r="G15" s="4" t="n"/>
      <c r="H15" s="4" t="n"/>
    </row>
    <row r="16">
      <c r="A16" s="4" t="n"/>
      <c r="B16" s="4" t="n"/>
      <c r="C16" s="4" t="n"/>
      <c r="D16" s="5" t="n"/>
      <c r="E16" s="5" t="n"/>
      <c r="F16" s="5" t="n"/>
      <c r="G16" s="4" t="n"/>
      <c r="H16" s="4" t="n"/>
    </row>
    <row r="17">
      <c r="A17" s="4" t="n"/>
      <c r="B17" s="4" t="n"/>
      <c r="C17" s="4" t="n"/>
      <c r="D17" s="5" t="n"/>
      <c r="E17" s="5" t="n"/>
      <c r="F17" s="5" t="n"/>
      <c r="G17" s="4" t="n"/>
      <c r="H17" s="4" t="n"/>
    </row>
    <row r="18">
      <c r="A18" s="4" t="n"/>
      <c r="B18" s="4" t="n"/>
      <c r="C18" s="4" t="n"/>
      <c r="D18" s="5" t="n"/>
      <c r="E18" s="5" t="n"/>
      <c r="F18" s="5" t="n"/>
      <c r="G18" s="4" t="n"/>
      <c r="H18" s="4" t="n"/>
    </row>
    <row r="19">
      <c r="A19" s="4" t="n"/>
      <c r="B19" s="4" t="n"/>
      <c r="C19" s="4" t="n"/>
      <c r="D19" s="5" t="n"/>
      <c r="E19" s="5" t="n"/>
      <c r="F19" s="5" t="n"/>
      <c r="G19" s="4" t="n"/>
      <c r="H19" s="4" t="n"/>
    </row>
    <row r="20">
      <c r="A20" s="4" t="n"/>
      <c r="B20" s="4" t="n"/>
      <c r="C20" s="4" t="n"/>
      <c r="D20" s="5" t="n"/>
      <c r="E20" s="5" t="n"/>
      <c r="F20" s="5" t="n"/>
      <c r="G20" s="4" t="n"/>
      <c r="H20" s="4" t="n"/>
    </row>
    <row r="21">
      <c r="A21" s="4" t="n"/>
      <c r="B21" s="4" t="n"/>
      <c r="C21" s="4" t="n"/>
      <c r="D21" s="5" t="n"/>
      <c r="E21" s="5" t="n"/>
      <c r="F21" s="5" t="n"/>
      <c r="G21" s="4" t="n"/>
      <c r="H21" s="4" t="n"/>
    </row>
    <row r="22">
      <c r="A22" s="4" t="n"/>
      <c r="B22" s="4" t="n"/>
      <c r="C22" s="4" t="n"/>
      <c r="D22" s="5" t="n"/>
      <c r="E22" s="5" t="n"/>
      <c r="F22" s="5" t="n"/>
      <c r="G22" s="4" t="n"/>
      <c r="H22" s="4" t="n"/>
    </row>
    <row r="23">
      <c r="A23" s="4" t="n"/>
      <c r="B23" s="4" t="n"/>
      <c r="C23" s="4" t="n"/>
      <c r="D23" s="5" t="n"/>
      <c r="E23" s="5" t="n"/>
      <c r="F23" s="5" t="n"/>
      <c r="G23" s="4" t="n"/>
      <c r="H23" s="4" t="n"/>
    </row>
    <row r="24">
      <c r="A24" s="4" t="n"/>
      <c r="B24" s="4" t="n"/>
      <c r="C24" s="4" t="n"/>
      <c r="D24" s="5" t="n"/>
      <c r="E24" s="5" t="n"/>
      <c r="F24" s="5" t="n"/>
      <c r="G24" s="4" t="n"/>
      <c r="H24" s="4" t="n"/>
    </row>
    <row r="25">
      <c r="A25" s="4" t="n"/>
      <c r="B25" s="4" t="n"/>
      <c r="C25" s="4" t="n"/>
      <c r="D25" s="5" t="n"/>
      <c r="E25" s="5" t="n"/>
      <c r="F25" s="5" t="n"/>
      <c r="G25" s="4" t="n"/>
      <c r="H25" s="4" t="n"/>
    </row>
    <row r="26">
      <c r="A26" s="4" t="n"/>
      <c r="B26" s="4" t="n"/>
      <c r="C26" s="4" t="n"/>
      <c r="D26" s="5" t="n"/>
      <c r="E26" s="5" t="n"/>
      <c r="F26" s="5" t="n"/>
      <c r="G26" s="4" t="n"/>
      <c r="H26" s="4" t="n"/>
    </row>
    <row r="27">
      <c r="A27" s="4" t="n"/>
      <c r="B27" s="4" t="n"/>
      <c r="C27" s="4" t="n"/>
      <c r="D27" s="5" t="n"/>
      <c r="E27" s="5" t="n"/>
      <c r="F27" s="5" t="n"/>
      <c r="G27" s="4" t="n"/>
      <c r="H27" s="4" t="n"/>
    </row>
    <row r="28">
      <c r="A28" s="4" t="n"/>
      <c r="B28" s="4" t="n"/>
      <c r="C28" s="4" t="n"/>
      <c r="D28" s="5" t="n"/>
      <c r="E28" s="5" t="n"/>
      <c r="F28" s="5" t="n"/>
      <c r="G28" s="4" t="n"/>
      <c r="H28" s="4" t="n"/>
    </row>
    <row r="29">
      <c r="A29" s="4" t="n"/>
      <c r="B29" s="4" t="n"/>
      <c r="C29" s="4" t="n"/>
      <c r="D29" s="5" t="n"/>
      <c r="E29" s="5" t="n"/>
      <c r="F29" s="5" t="n"/>
      <c r="G29" s="4" t="n"/>
      <c r="H29" s="4" t="n"/>
    </row>
    <row r="30">
      <c r="A30" s="4" t="n"/>
      <c r="B30" s="4" t="n"/>
      <c r="C30" s="4" t="n"/>
      <c r="D30" s="5" t="n"/>
      <c r="E30" s="5" t="n"/>
      <c r="F30" s="5" t="n"/>
      <c r="G30" s="4" t="n"/>
      <c r="H30" s="4" t="n"/>
    </row>
    <row r="31">
      <c r="A31" s="4" t="n"/>
      <c r="B31" s="4" t="n"/>
      <c r="C31" s="4" t="n"/>
      <c r="D31" s="5" t="n"/>
      <c r="E31" s="5" t="n"/>
      <c r="F31" s="5" t="n"/>
      <c r="G31" s="4" t="n"/>
      <c r="H31" s="4" t="n"/>
    </row>
    <row r="32">
      <c r="A32" s="4" t="n"/>
      <c r="B32" s="4" t="n"/>
      <c r="C32" s="4" t="n"/>
      <c r="D32" s="5" t="n"/>
      <c r="E32" s="5" t="n"/>
      <c r="F32" s="5" t="n"/>
      <c r="G32" s="4" t="n"/>
      <c r="H32" s="4" t="n"/>
    </row>
    <row r="33">
      <c r="A33" s="4" t="n"/>
      <c r="B33" s="4" t="n"/>
      <c r="C33" s="4" t="n"/>
      <c r="D33" s="5" t="n"/>
      <c r="E33" s="5" t="n"/>
      <c r="F33" s="5" t="n"/>
      <c r="G33" s="4" t="n"/>
      <c r="H33" s="4" t="n"/>
    </row>
    <row r="34">
      <c r="A34" s="4" t="n"/>
      <c r="B34" s="4" t="n"/>
      <c r="C34" s="4" t="n"/>
      <c r="D34" s="5" t="n"/>
      <c r="E34" s="5" t="n"/>
      <c r="F34" s="5" t="n"/>
      <c r="G34" s="4" t="n"/>
      <c r="H34" s="4" t="n"/>
    </row>
    <row r="35">
      <c r="A35" s="4" t="n"/>
      <c r="B35" s="4" t="n"/>
      <c r="C35" s="4" t="n"/>
      <c r="D35" s="5" t="n"/>
      <c r="E35" s="5" t="n"/>
      <c r="F35" s="5" t="n"/>
      <c r="G35" s="4" t="n"/>
      <c r="H35" s="4" t="n"/>
    </row>
    <row r="36">
      <c r="A36" s="4" t="n"/>
      <c r="B36" s="4" t="n"/>
      <c r="C36" s="4" t="n"/>
      <c r="D36" s="5" t="n"/>
      <c r="E36" s="5" t="n"/>
      <c r="F36" s="5" t="n"/>
      <c r="G36" s="4" t="n"/>
      <c r="H36" s="4" t="n"/>
    </row>
    <row r="37">
      <c r="A37" s="4" t="n"/>
      <c r="B37" s="4" t="n"/>
      <c r="C37" s="4" t="n"/>
      <c r="D37" s="5" t="n"/>
      <c r="E37" s="5" t="n"/>
      <c r="F37" s="5" t="n"/>
      <c r="G37" s="4" t="n"/>
      <c r="H37" s="4" t="n"/>
    </row>
    <row r="38">
      <c r="A38" s="4" t="n"/>
      <c r="B38" s="4" t="n"/>
      <c r="C38" s="4" t="n"/>
      <c r="D38" s="5" t="n"/>
      <c r="E38" s="5" t="n"/>
      <c r="F38" s="5" t="n"/>
      <c r="G38" s="4" t="n"/>
      <c r="H38" s="4" t="n"/>
    </row>
    <row r="39">
      <c r="A39" s="4" t="n"/>
      <c r="B39" s="4" t="n"/>
      <c r="C39" s="4" t="n"/>
      <c r="D39" s="5" t="n"/>
      <c r="E39" s="5" t="n"/>
      <c r="F39" s="5" t="n"/>
      <c r="G39" s="4" t="n"/>
      <c r="H39" s="4" t="n"/>
    </row>
    <row r="40">
      <c r="A40" s="4" t="n"/>
      <c r="B40" s="4" t="n"/>
      <c r="C40" s="4" t="n"/>
      <c r="D40" s="5" t="n"/>
      <c r="E40" s="5" t="n"/>
      <c r="F40" s="5" t="n"/>
      <c r="G40" s="4" t="n"/>
      <c r="H40" s="4" t="n"/>
    </row>
    <row r="41">
      <c r="A41" s="4" t="n"/>
      <c r="B41" s="4" t="n"/>
      <c r="C41" s="4" t="n"/>
      <c r="D41" s="5" t="n"/>
      <c r="E41" s="5" t="n"/>
      <c r="F41" s="5" t="n"/>
      <c r="G41" s="4" t="n"/>
      <c r="H41" s="4" t="n"/>
    </row>
    <row r="42">
      <c r="A42" s="4" t="n"/>
      <c r="B42" s="4" t="n"/>
      <c r="C42" s="4" t="n"/>
      <c r="D42" s="5" t="n"/>
      <c r="E42" s="5" t="n"/>
      <c r="F42" s="5" t="n"/>
      <c r="G42" s="4" t="n"/>
      <c r="H42" s="4" t="n"/>
    </row>
    <row r="43">
      <c r="A43" s="4" t="n"/>
      <c r="B43" s="4" t="n"/>
      <c r="C43" s="4" t="n"/>
      <c r="D43" s="5" t="n"/>
      <c r="E43" s="5" t="n"/>
      <c r="F43" s="5" t="n"/>
      <c r="G43" s="4" t="n"/>
      <c r="H43" s="4" t="n"/>
    </row>
    <row r="44">
      <c r="A44" s="4" t="n"/>
      <c r="B44" s="4" t="n"/>
      <c r="C44" s="4" t="n"/>
      <c r="D44" s="5" t="n"/>
      <c r="E44" s="5" t="n"/>
      <c r="F44" s="5" t="n"/>
      <c r="G44" s="4" t="n"/>
      <c r="H44" s="4" t="n"/>
    </row>
    <row r="45">
      <c r="A45" s="4" t="n"/>
      <c r="B45" s="4" t="n"/>
      <c r="C45" s="4" t="n"/>
      <c r="D45" s="5" t="n"/>
      <c r="E45" s="5" t="n"/>
      <c r="F45" s="5" t="n"/>
      <c r="G45" s="4" t="n"/>
      <c r="H45" s="4" t="n"/>
    </row>
    <row r="46">
      <c r="A46" s="4" t="n"/>
      <c r="B46" s="4" t="n"/>
      <c r="C46" s="4" t="n"/>
      <c r="D46" s="5" t="n"/>
      <c r="E46" s="5" t="n"/>
      <c r="F46" s="5" t="n"/>
      <c r="G46" s="4" t="n"/>
      <c r="H46" s="4" t="n"/>
    </row>
    <row r="47">
      <c r="A47" s="4" t="n"/>
      <c r="B47" s="4" t="n"/>
      <c r="C47" s="4" t="n"/>
      <c r="D47" s="5" t="n"/>
      <c r="E47" s="5" t="n"/>
      <c r="F47" s="5" t="n"/>
      <c r="G47" s="4" t="n"/>
      <c r="H47" s="4" t="n"/>
    </row>
    <row r="48">
      <c r="A48" s="4" t="n"/>
      <c r="B48" s="4" t="n"/>
      <c r="C48" s="4" t="n"/>
      <c r="D48" s="5" t="n"/>
      <c r="E48" s="5" t="n"/>
      <c r="F48" s="5" t="n"/>
      <c r="G48" s="4" t="n"/>
      <c r="H48" s="4" t="n"/>
    </row>
    <row r="49">
      <c r="A49" s="4" t="n"/>
      <c r="B49" s="4" t="n"/>
      <c r="C49" s="4" t="n"/>
      <c r="D49" s="5" t="n"/>
      <c r="E49" s="5" t="n"/>
      <c r="F49" s="5" t="n"/>
      <c r="G49" s="4" t="n"/>
      <c r="H49" s="4" t="n"/>
    </row>
    <row r="50">
      <c r="A50" s="4" t="n"/>
      <c r="B50" s="4" t="n"/>
      <c r="C50" s="4" t="n"/>
      <c r="D50" s="5" t="n"/>
      <c r="E50" s="5" t="n"/>
      <c r="F50" s="5" t="n"/>
      <c r="G50" s="4" t="n"/>
      <c r="H50" s="4" t="n"/>
    </row>
    <row r="51">
      <c r="A51" s="4" t="n"/>
      <c r="B51" s="4" t="n"/>
      <c r="C51" s="4" t="n"/>
      <c r="D51" s="5" t="n"/>
      <c r="E51" s="5" t="n"/>
      <c r="F51" s="5" t="n"/>
      <c r="G51" s="4" t="n"/>
      <c r="H51" s="4" t="n"/>
    </row>
    <row r="52">
      <c r="A52" s="4" t="n"/>
      <c r="B52" s="4" t="n"/>
      <c r="C52" s="4" t="n"/>
      <c r="D52" s="5" t="n"/>
      <c r="E52" s="5" t="n"/>
      <c r="F52" s="5" t="n"/>
      <c r="G52" s="4" t="n"/>
      <c r="H52" s="4" t="n"/>
    </row>
    <row r="53">
      <c r="A53" s="4" t="n"/>
      <c r="B53" s="4" t="n"/>
      <c r="C53" s="4" t="n"/>
      <c r="D53" s="5" t="n"/>
      <c r="E53" s="5" t="n"/>
      <c r="F53" s="5" t="n"/>
      <c r="G53" s="4" t="n"/>
      <c r="H53" s="4" t="n"/>
    </row>
    <row r="54">
      <c r="A54" s="4" t="n"/>
      <c r="B54" s="4" t="n"/>
      <c r="C54" s="4" t="n"/>
      <c r="D54" s="5" t="n"/>
      <c r="E54" s="5" t="n"/>
      <c r="F54" s="5" t="n"/>
      <c r="G54" s="4" t="n"/>
      <c r="H54" s="4" t="n"/>
    </row>
    <row r="55">
      <c r="A55" s="4" t="n"/>
      <c r="B55" s="4" t="n"/>
      <c r="C55" s="4" t="n"/>
      <c r="D55" s="5" t="n"/>
      <c r="E55" s="5" t="n"/>
      <c r="F55" s="5" t="n"/>
      <c r="G55" s="4" t="n"/>
      <c r="H55" s="4" t="n"/>
    </row>
    <row r="56">
      <c r="A56" s="4" t="n"/>
      <c r="B56" s="4" t="n"/>
      <c r="C56" s="4" t="n"/>
      <c r="D56" s="5" t="n"/>
      <c r="E56" s="5" t="n"/>
      <c r="F56" s="5" t="n"/>
      <c r="G56" s="4" t="n"/>
      <c r="H56" s="4" t="n"/>
    </row>
    <row r="57">
      <c r="A57" s="4" t="n"/>
      <c r="B57" s="4" t="n"/>
      <c r="C57" s="4" t="n"/>
      <c r="D57" s="5" t="n"/>
      <c r="E57" s="5" t="n"/>
      <c r="F57" s="5" t="n"/>
      <c r="G57" s="4" t="n"/>
      <c r="H57" s="4" t="n"/>
    </row>
    <row r="58">
      <c r="A58" s="4" t="n"/>
      <c r="B58" s="4" t="n"/>
      <c r="C58" s="4" t="n"/>
      <c r="D58" s="5" t="n"/>
      <c r="E58" s="5" t="n"/>
      <c r="F58" s="5" t="n"/>
      <c r="G58" s="4" t="n"/>
      <c r="H58" s="4" t="n"/>
    </row>
    <row r="59">
      <c r="A59" s="4" t="n"/>
      <c r="B59" s="4" t="n"/>
      <c r="C59" s="4" t="n"/>
      <c r="D59" s="5" t="n"/>
      <c r="E59" s="5" t="n"/>
      <c r="F59" s="5" t="n"/>
      <c r="G59" s="4" t="n"/>
      <c r="H59" s="4" t="n"/>
    </row>
    <row r="60">
      <c r="A60" s="4" t="n"/>
      <c r="B60" s="4" t="n"/>
      <c r="C60" s="4" t="n"/>
      <c r="D60" s="5" t="n"/>
      <c r="E60" s="5" t="n"/>
      <c r="F60" s="5" t="n"/>
      <c r="G60" s="4" t="n"/>
      <c r="H60" s="4" t="n"/>
    </row>
    <row r="61">
      <c r="A61" s="4" t="n"/>
      <c r="B61" s="4" t="n"/>
      <c r="C61" s="4" t="n"/>
      <c r="D61" s="5" t="n"/>
      <c r="E61" s="5" t="n"/>
      <c r="F61" s="5" t="n"/>
      <c r="G61" s="4" t="n"/>
      <c r="H61" s="4" t="n"/>
    </row>
    <row r="62">
      <c r="A62" s="4" t="n"/>
      <c r="B62" s="4" t="n"/>
      <c r="C62" s="4" t="n"/>
      <c r="D62" s="5" t="n"/>
      <c r="E62" s="5" t="n"/>
      <c r="F62" s="5" t="n"/>
      <c r="G62" s="4" t="n"/>
      <c r="H62" s="4" t="n"/>
    </row>
    <row r="63">
      <c r="A63" s="4" t="n"/>
      <c r="B63" s="4" t="n"/>
      <c r="C63" s="4" t="n"/>
      <c r="D63" s="5" t="n"/>
      <c r="E63" s="5" t="n"/>
      <c r="F63" s="5" t="n"/>
      <c r="G63" s="4" t="n"/>
      <c r="H63" s="4" t="n"/>
    </row>
    <row r="64">
      <c r="A64" s="4" t="n"/>
      <c r="B64" s="4" t="n"/>
      <c r="C64" s="4" t="n"/>
      <c r="D64" s="5" t="n"/>
      <c r="E64" s="5" t="n"/>
      <c r="F64" s="5" t="n"/>
      <c r="G64" s="4" t="n"/>
      <c r="H64" s="4" t="n"/>
    </row>
    <row r="65">
      <c r="A65" s="4" t="n"/>
      <c r="B65" s="4" t="n"/>
      <c r="C65" s="4" t="n"/>
      <c r="D65" s="5" t="n"/>
      <c r="E65" s="5" t="n"/>
      <c r="F65" s="5" t="n"/>
      <c r="G65" s="4" t="n"/>
      <c r="H65" s="4" t="n"/>
    </row>
    <row r="66">
      <c r="A66" s="4" t="n"/>
      <c r="B66" s="4" t="n"/>
      <c r="C66" s="4" t="n"/>
      <c r="D66" s="5" t="n"/>
      <c r="E66" s="5" t="n"/>
      <c r="F66" s="5" t="n"/>
      <c r="G66" s="4" t="n"/>
      <c r="H66" s="4" t="n"/>
    </row>
    <row r="67">
      <c r="A67" s="4" t="n"/>
      <c r="B67" s="4" t="n"/>
      <c r="C67" s="4" t="n"/>
      <c r="D67" s="5" t="n"/>
      <c r="E67" s="5" t="n"/>
      <c r="F67" s="5" t="n"/>
      <c r="G67" s="4" t="n"/>
      <c r="H67" s="4" t="n"/>
    </row>
    <row r="68">
      <c r="A68" s="4" t="n"/>
      <c r="B68" s="4" t="n"/>
      <c r="C68" s="4" t="n"/>
      <c r="D68" s="5" t="n"/>
      <c r="E68" s="5" t="n"/>
      <c r="F68" s="5" t="n"/>
      <c r="G68" s="4" t="n"/>
      <c r="H68" s="4" t="n"/>
    </row>
    <row r="69">
      <c r="A69" s="4" t="n"/>
      <c r="B69" s="4" t="n"/>
      <c r="C69" s="4" t="n"/>
      <c r="D69" s="5" t="n"/>
      <c r="E69" s="5" t="n"/>
      <c r="F69" s="5" t="n"/>
      <c r="G69" s="4" t="n"/>
      <c r="H69" s="4" t="n"/>
    </row>
    <row r="70">
      <c r="A70" s="4" t="n"/>
      <c r="B70" s="4" t="n"/>
      <c r="C70" s="4" t="n"/>
      <c r="D70" s="5" t="n"/>
      <c r="E70" s="5" t="n"/>
      <c r="F70" s="5" t="n"/>
      <c r="G70" s="4" t="n"/>
      <c r="H70" s="4" t="n"/>
    </row>
    <row r="71">
      <c r="A71" s="4" t="n"/>
      <c r="B71" s="4" t="n"/>
      <c r="C71" s="4" t="n"/>
      <c r="D71" s="5" t="n"/>
      <c r="E71" s="5" t="n"/>
      <c r="F71" s="5" t="n"/>
      <c r="G71" s="4" t="n"/>
      <c r="H71" s="4" t="n"/>
    </row>
    <row r="72">
      <c r="A72" s="4" t="n"/>
      <c r="B72" s="4" t="n"/>
      <c r="C72" s="4" t="n"/>
      <c r="D72" s="5" t="n"/>
      <c r="E72" s="5" t="n"/>
      <c r="F72" s="5" t="n"/>
      <c r="G72" s="4" t="n"/>
      <c r="H72" s="4" t="n"/>
    </row>
    <row r="73">
      <c r="A73" s="4" t="n"/>
      <c r="B73" s="4" t="n"/>
      <c r="C73" s="4" t="n"/>
      <c r="D73" s="5" t="n"/>
      <c r="E73" s="5" t="n"/>
      <c r="F73" s="5" t="n"/>
      <c r="G73" s="4" t="n"/>
      <c r="H73" s="4" t="n"/>
    </row>
    <row r="74">
      <c r="A74" s="4" t="n"/>
      <c r="B74" s="4" t="n"/>
      <c r="C74" s="4" t="n"/>
      <c r="D74" s="5" t="n"/>
      <c r="E74" s="5" t="n"/>
      <c r="F74" s="5" t="n"/>
      <c r="G74" s="4" t="n"/>
      <c r="H74" s="4" t="n"/>
    </row>
    <row r="75">
      <c r="A75" s="4" t="n"/>
      <c r="B75" s="4" t="n"/>
      <c r="C75" s="4" t="n"/>
      <c r="D75" s="5" t="n"/>
      <c r="E75" s="5" t="n"/>
      <c r="F75" s="5" t="n"/>
      <c r="G75" s="4" t="n"/>
      <c r="H75" s="4" t="n"/>
    </row>
    <row r="76">
      <c r="A76" s="4" t="n"/>
      <c r="B76" s="4" t="n"/>
      <c r="C76" s="4" t="n"/>
      <c r="D76" s="5" t="n"/>
      <c r="E76" s="5" t="n"/>
      <c r="F76" s="5" t="n"/>
      <c r="G76" s="4" t="n"/>
      <c r="H76" s="4" t="n"/>
    </row>
    <row r="77">
      <c r="A77" s="4" t="n"/>
      <c r="B77" s="4" t="n"/>
      <c r="C77" s="4" t="n"/>
      <c r="D77" s="5" t="n"/>
      <c r="E77" s="5" t="n"/>
      <c r="F77" s="5" t="n"/>
      <c r="G77" s="4" t="n"/>
      <c r="H77" s="4" t="n"/>
    </row>
    <row r="78">
      <c r="A78" s="4" t="n"/>
      <c r="B78" s="4" t="n"/>
      <c r="C78" s="4" t="n"/>
      <c r="D78" s="5" t="n"/>
      <c r="E78" s="5" t="n"/>
      <c r="F78" s="5" t="n"/>
      <c r="G78" s="4" t="n"/>
      <c r="H78" s="4" t="n"/>
    </row>
    <row r="79">
      <c r="A79" s="4" t="n"/>
      <c r="B79" s="4" t="n"/>
      <c r="C79" s="4" t="n"/>
      <c r="D79" s="5" t="n"/>
      <c r="E79" s="5" t="n"/>
      <c r="F79" s="5" t="n"/>
      <c r="G79" s="4" t="n"/>
      <c r="H79" s="4" t="n"/>
    </row>
    <row r="80">
      <c r="A80" s="4" t="n"/>
      <c r="B80" s="4" t="n"/>
      <c r="C80" s="4" t="n"/>
      <c r="D80" s="5" t="n"/>
      <c r="E80" s="5" t="n"/>
      <c r="F80" s="5" t="n"/>
      <c r="G80" s="4" t="n"/>
      <c r="H80" s="4" t="n"/>
    </row>
    <row r="81">
      <c r="A81" s="4" t="n"/>
      <c r="B81" s="4" t="n"/>
      <c r="C81" s="4" t="n"/>
      <c r="D81" s="5" t="n"/>
      <c r="E81" s="5" t="n"/>
      <c r="F81" s="5" t="n"/>
      <c r="G81" s="4" t="n"/>
      <c r="H81" s="4" t="n"/>
    </row>
    <row r="82">
      <c r="A82" s="4" t="n"/>
      <c r="B82" s="4" t="n"/>
      <c r="C82" s="4" t="n"/>
      <c r="D82" s="5" t="n"/>
      <c r="E82" s="5" t="n"/>
      <c r="F82" s="5" t="n"/>
      <c r="G82" s="4" t="n"/>
      <c r="H82" s="4" t="n"/>
    </row>
    <row r="83">
      <c r="A83" s="4" t="n"/>
      <c r="B83" s="4" t="n"/>
      <c r="C83" s="4" t="n"/>
      <c r="D83" s="5" t="n"/>
      <c r="E83" s="5" t="n"/>
      <c r="F83" s="5" t="n"/>
      <c r="G83" s="4" t="n"/>
      <c r="H83" s="4" t="n"/>
    </row>
    <row r="84">
      <c r="A84" s="4" t="n"/>
      <c r="B84" s="4" t="n"/>
      <c r="C84" s="4" t="n"/>
      <c r="D84" s="5" t="n"/>
      <c r="E84" s="5" t="n"/>
      <c r="F84" s="5" t="n"/>
      <c r="G84" s="4" t="n"/>
      <c r="H84" s="4" t="n"/>
    </row>
    <row r="85">
      <c r="A85" s="4" t="n"/>
      <c r="B85" s="4" t="n"/>
      <c r="C85" s="4" t="n"/>
      <c r="D85" s="5" t="n"/>
      <c r="E85" s="5" t="n"/>
      <c r="F85" s="5" t="n"/>
      <c r="G85" s="4" t="n"/>
      <c r="H85" s="4" t="n"/>
    </row>
    <row r="86">
      <c r="A86" s="4" t="n"/>
      <c r="B86" s="4" t="n"/>
      <c r="C86" s="4" t="n"/>
      <c r="D86" s="5" t="n"/>
      <c r="E86" s="5" t="n"/>
      <c r="F86" s="5" t="n"/>
      <c r="G86" s="4" t="n"/>
      <c r="H86" s="4" t="n"/>
    </row>
    <row r="87">
      <c r="A87" s="4" t="n"/>
      <c r="B87" s="4" t="n"/>
      <c r="C87" s="4" t="n"/>
      <c r="D87" s="5" t="n"/>
      <c r="E87" s="5" t="n"/>
      <c r="F87" s="5" t="n"/>
      <c r="G87" s="4" t="n"/>
      <c r="H87" s="4" t="n"/>
    </row>
    <row r="88">
      <c r="A88" s="4" t="n"/>
      <c r="B88" s="4" t="n"/>
      <c r="C88" s="4" t="n"/>
      <c r="D88" s="5" t="n"/>
      <c r="E88" s="5" t="n"/>
      <c r="F88" s="5" t="n"/>
      <c r="G88" s="4" t="n"/>
      <c r="H88" s="4" t="n"/>
    </row>
    <row r="89">
      <c r="A89" s="4" t="n"/>
      <c r="B89" s="4" t="n"/>
      <c r="C89" s="4" t="n"/>
      <c r="D89" s="5" t="n"/>
      <c r="E89" s="5" t="n"/>
      <c r="F89" s="5" t="n"/>
      <c r="G89" s="4" t="n"/>
      <c r="H89" s="4" t="n"/>
    </row>
    <row r="90">
      <c r="A90" s="4" t="n"/>
      <c r="B90" s="4" t="n"/>
      <c r="C90" s="4" t="n"/>
      <c r="D90" s="5" t="n"/>
      <c r="E90" s="5" t="n"/>
      <c r="F90" s="5" t="n"/>
      <c r="G90" s="4" t="n"/>
      <c r="H90" s="4" t="n"/>
    </row>
    <row r="91">
      <c r="A91" s="4" t="n"/>
      <c r="B91" s="4" t="n"/>
      <c r="C91" s="4" t="n"/>
      <c r="D91" s="5" t="n"/>
      <c r="E91" s="5" t="n"/>
      <c r="F91" s="5" t="n"/>
      <c r="G91" s="4" t="n"/>
      <c r="H91" s="4" t="n"/>
    </row>
    <row r="92">
      <c r="A92" s="4" t="n"/>
      <c r="B92" s="4" t="n"/>
      <c r="C92" s="4" t="n"/>
      <c r="D92" s="5" t="n"/>
      <c r="E92" s="5" t="n"/>
      <c r="F92" s="5" t="n"/>
      <c r="G92" s="4" t="n"/>
      <c r="H92" s="4" t="n"/>
    </row>
    <row r="93">
      <c r="A93" s="4" t="n"/>
      <c r="B93" s="4" t="n"/>
      <c r="C93" s="4" t="n"/>
      <c r="D93" s="5" t="n"/>
      <c r="E93" s="5" t="n"/>
      <c r="F93" s="5" t="n"/>
      <c r="G93" s="4" t="n"/>
      <c r="H93" s="4" t="n"/>
    </row>
    <row r="94">
      <c r="A94" s="4" t="n"/>
      <c r="B94" s="4" t="n"/>
      <c r="C94" s="4" t="n"/>
      <c r="D94" s="5" t="n"/>
      <c r="E94" s="5" t="n"/>
      <c r="F94" s="5" t="n"/>
      <c r="G94" s="4" t="n"/>
      <c r="H94" s="4" t="n"/>
    </row>
    <row r="95">
      <c r="A95" s="4" t="n"/>
      <c r="B95" s="4" t="n"/>
      <c r="C95" s="4" t="n"/>
      <c r="D95" s="5" t="n"/>
      <c r="E95" s="5" t="n"/>
      <c r="F95" s="5" t="n"/>
      <c r="G95" s="4" t="n"/>
      <c r="H95" s="4" t="n"/>
    </row>
    <row r="96">
      <c r="A96" s="4" t="n"/>
      <c r="B96" s="4" t="n"/>
      <c r="C96" s="4" t="n"/>
      <c r="D96" s="5" t="n"/>
      <c r="E96" s="5" t="n"/>
      <c r="F96" s="5" t="n"/>
      <c r="G96" s="4" t="n"/>
      <c r="H96" s="4" t="n"/>
    </row>
    <row r="97">
      <c r="A97" s="4" t="n"/>
      <c r="B97" s="4" t="n"/>
      <c r="C97" s="4" t="n"/>
      <c r="D97" s="5" t="n"/>
      <c r="E97" s="5" t="n"/>
      <c r="F97" s="5" t="n"/>
      <c r="G97" s="4" t="n"/>
      <c r="H97" s="4" t="n"/>
    </row>
    <row r="98">
      <c r="A98" s="4" t="n"/>
      <c r="B98" s="4" t="n"/>
      <c r="C98" s="4" t="n"/>
      <c r="D98" s="5" t="n"/>
      <c r="E98" s="5" t="n"/>
      <c r="F98" s="5" t="n"/>
      <c r="G98" s="4" t="n"/>
      <c r="H98" s="4" t="n"/>
    </row>
    <row r="99">
      <c r="A99" s="4" t="n"/>
      <c r="B99" s="4" t="n"/>
      <c r="C99" s="4" t="n"/>
      <c r="D99" s="5" t="n"/>
      <c r="E99" s="5" t="n"/>
      <c r="F99" s="5" t="n"/>
      <c r="G99" s="4" t="n"/>
      <c r="H99" s="4" t="n"/>
    </row>
    <row r="100">
      <c r="A100" s="4" t="n"/>
      <c r="B100" s="4" t="n"/>
      <c r="C100" s="4" t="n"/>
      <c r="D100" s="5" t="n"/>
      <c r="E100" s="5" t="n"/>
      <c r="F100" s="5" t="n"/>
      <c r="G100" s="4" t="n"/>
      <c r="H100" s="4" t="n"/>
    </row>
    <row r="101">
      <c r="A101" s="4" t="n"/>
      <c r="B101" s="4" t="n"/>
      <c r="C101" s="4" t="n"/>
      <c r="D101" s="5" t="n"/>
      <c r="E101" s="5" t="n"/>
      <c r="F101" s="5" t="n"/>
      <c r="G101" s="4" t="n"/>
      <c r="H101" s="4" t="n"/>
    </row>
    <row r="102">
      <c r="A102" s="4" t="n"/>
      <c r="B102" s="4" t="n"/>
      <c r="C102" s="4" t="n"/>
      <c r="D102" s="5" t="n"/>
      <c r="E102" s="5" t="n"/>
      <c r="F102" s="5" t="n"/>
      <c r="G102" s="4" t="n"/>
      <c r="H102" s="4" t="n"/>
    </row>
    <row r="103">
      <c r="A103" s="4" t="n"/>
      <c r="B103" s="4" t="n"/>
      <c r="C103" s="4" t="n"/>
      <c r="D103" s="5" t="n"/>
      <c r="E103" s="5" t="n"/>
      <c r="F103" s="5" t="n"/>
      <c r="G103" s="4" t="n"/>
      <c r="H103" s="4" t="n"/>
    </row>
    <row r="104">
      <c r="A104" s="4" t="n"/>
      <c r="B104" s="4" t="n"/>
      <c r="C104" s="4" t="n"/>
      <c r="D104" s="5" t="n"/>
      <c r="E104" s="5" t="n"/>
      <c r="F104" s="5" t="n"/>
      <c r="G104" s="4" t="n"/>
      <c r="H104" s="4" t="n"/>
    </row>
    <row r="105">
      <c r="A105" s="4" t="n"/>
      <c r="B105" s="4" t="n"/>
      <c r="C105" s="4" t="n"/>
      <c r="D105" s="5" t="n"/>
      <c r="E105" s="5" t="n"/>
      <c r="F105" s="5" t="n"/>
      <c r="G105" s="4" t="n"/>
      <c r="H105" s="4" t="n"/>
    </row>
    <row r="108">
      <c r="A108" s="7" t="inlineStr">
        <is>
          <t>FRAMEWORK SUMMARY (update manually or with pivot)</t>
        </is>
      </c>
    </row>
    <row r="109">
      <c r="A109" s="3" t="inlineStr">
        <is>
          <t>Framework</t>
        </is>
      </c>
      <c r="B109" s="3" t="inlineStr">
        <is>
          <t>Times Used</t>
        </is>
      </c>
      <c r="C109" s="3" t="inlineStr">
        <is>
          <t>Avg Insight</t>
        </is>
      </c>
      <c r="D109" s="3" t="inlineStr">
        <is>
          <t>Avg Time (hrs)</t>
        </is>
      </c>
      <c r="E109" s="3" t="inlineStr">
        <is>
          <t>Decision Change Rate</t>
        </is>
      </c>
      <c r="F109" s="3" t="inlineStr">
        <is>
          <t>Recommend?</t>
        </is>
      </c>
    </row>
    <row r="110">
      <c r="A110" s="9" t="inlineStr">
        <is>
          <t>STEELMAN</t>
        </is>
      </c>
      <c r="B110" s="5" t="n"/>
      <c r="C110" s="5" t="n"/>
      <c r="D110" s="5" t="n"/>
      <c r="E110" s="5" t="n"/>
      <c r="F110" s="5" t="n"/>
    </row>
    <row r="111">
      <c r="A111" s="9" t="inlineStr">
        <is>
          <t>PREMORTEM</t>
        </is>
      </c>
      <c r="B111" s="5" t="n"/>
      <c r="C111" s="5" t="n"/>
      <c r="D111" s="5" t="n"/>
      <c r="E111" s="5" t="n"/>
      <c r="F111" s="5" t="n"/>
    </row>
    <row r="112">
      <c r="A112" s="9" t="inlineStr">
        <is>
          <t>DOUBLE_CRUX</t>
        </is>
      </c>
      <c r="B112" s="5" t="n"/>
      <c r="C112" s="5" t="n"/>
      <c r="D112" s="5" t="n"/>
      <c r="E112" s="5" t="n"/>
      <c r="F112" s="5" t="n"/>
    </row>
    <row r="113">
      <c r="A113" s="9" t="inlineStr">
        <is>
          <t>BAYES_LITE</t>
        </is>
      </c>
      <c r="B113" s="5" t="n"/>
      <c r="C113" s="5" t="n"/>
      <c r="D113" s="5" t="n"/>
      <c r="E113" s="5" t="n"/>
      <c r="F113" s="5" t="n"/>
    </row>
    <row r="114">
      <c r="A114" s="9" t="inlineStr">
        <is>
          <t>SISTÉMICO</t>
        </is>
      </c>
      <c r="B114" s="5" t="n"/>
      <c r="C114" s="5" t="n"/>
      <c r="D114" s="5" t="n"/>
      <c r="E114" s="5" t="n"/>
      <c r="F114" s="5" t="n"/>
    </row>
    <row r="115">
      <c r="A115" s="9" t="inlineStr">
        <is>
          <t>LADDER</t>
        </is>
      </c>
      <c r="B115" s="5" t="n"/>
      <c r="C115" s="5" t="n"/>
      <c r="D115" s="5" t="n"/>
      <c r="E115" s="5" t="n"/>
      <c r="F115" s="5" t="n"/>
    </row>
    <row r="116">
      <c r="A116" s="9" t="inlineStr">
        <is>
          <t>FMEA</t>
        </is>
      </c>
      <c r="B116" s="5" t="n"/>
      <c r="C116" s="5" t="n"/>
      <c r="D116" s="5" t="n"/>
      <c r="E116" s="5" t="n"/>
      <c r="F116" s="5" t="n"/>
    </row>
    <row r="117">
      <c r="A117" s="9" t="inlineStr">
        <is>
          <t>HAZOP</t>
        </is>
      </c>
      <c r="B117" s="5" t="n"/>
      <c r="C117" s="5" t="n"/>
      <c r="D117" s="5" t="n"/>
      <c r="E117" s="5" t="n"/>
      <c r="F117" s="5" t="n"/>
    </row>
    <row r="118">
      <c r="A118" s="9" t="inlineStr">
        <is>
          <t>FTA</t>
        </is>
      </c>
      <c r="B118" s="5" t="n"/>
      <c r="C118" s="5" t="n"/>
      <c r="D118" s="5" t="n"/>
      <c r="E118" s="5" t="n"/>
      <c r="F118" s="5" t="n"/>
    </row>
    <row r="119">
      <c r="A119" s="9" t="inlineStr">
        <is>
          <t>Swiss Cheese</t>
        </is>
      </c>
      <c r="B119" s="5" t="n"/>
      <c r="C119" s="5" t="n"/>
      <c r="D119" s="5" t="n"/>
      <c r="E119" s="5" t="n"/>
      <c r="F119" s="5" t="n"/>
    </row>
    <row r="120">
      <c r="A120" s="9" t="inlineStr">
        <is>
          <t>STPA</t>
        </is>
      </c>
      <c r="B120" s="5" t="n"/>
      <c r="C120" s="5" t="n"/>
      <c r="D120" s="5" t="n"/>
      <c r="E120" s="5" t="n"/>
      <c r="F120" s="5" t="n"/>
    </row>
    <row r="121">
      <c r="A121" s="9" t="inlineStr">
        <is>
          <t>RPD</t>
        </is>
      </c>
      <c r="B121" s="5" t="n"/>
      <c r="C121" s="5" t="n"/>
      <c r="D121" s="5" t="n"/>
      <c r="E121" s="5" t="n"/>
      <c r="F121" s="5" t="n"/>
    </row>
    <row r="122">
      <c r="A122" s="9" t="inlineStr">
        <is>
          <t>Sensemaking</t>
        </is>
      </c>
      <c r="B122" s="5" t="n"/>
      <c r="C122" s="5" t="n"/>
      <c r="D122" s="5" t="n"/>
      <c r="E122" s="5" t="n"/>
      <c r="F122" s="5" t="n"/>
    </row>
    <row r="123">
      <c r="A123" s="9" t="inlineStr">
        <is>
          <t>Mental Models</t>
        </is>
      </c>
      <c r="B123" s="5" t="n"/>
      <c r="C123" s="5" t="n"/>
      <c r="D123" s="5" t="n"/>
      <c r="E123" s="5" t="n"/>
      <c r="F123" s="5" t="n"/>
    </row>
    <row r="124">
      <c r="A124" s="9" t="inlineStr">
        <is>
          <t>Prospect Theory</t>
        </is>
      </c>
      <c r="B124" s="5" t="n"/>
      <c r="C124" s="5" t="n"/>
      <c r="D124" s="5" t="n"/>
      <c r="E124" s="5" t="n"/>
      <c r="F124" s="5" t="n"/>
    </row>
    <row r="125">
      <c r="A125" s="9" t="inlineStr">
        <is>
          <t>Cynefin</t>
        </is>
      </c>
      <c r="B125" s="5" t="n"/>
      <c r="C125" s="5" t="n"/>
      <c r="D125" s="5" t="n"/>
      <c r="E125" s="5" t="n"/>
      <c r="F125" s="5" t="n"/>
    </row>
    <row r="126">
      <c r="A126" s="9" t="inlineStr">
        <is>
          <t>OODA</t>
        </is>
      </c>
      <c r="B126" s="5" t="n"/>
      <c r="C126" s="5" t="n"/>
      <c r="D126" s="5" t="n"/>
      <c r="E126" s="5" t="n"/>
      <c r="F126" s="5" t="n"/>
    </row>
    <row r="127">
      <c r="A127" s="9" t="inlineStr">
        <is>
          <t>Chaos Engineering</t>
        </is>
      </c>
      <c r="B127" s="5" t="n"/>
      <c r="C127" s="5" t="n"/>
      <c r="D127" s="5" t="n"/>
      <c r="E127" s="5" t="n"/>
      <c r="F127" s="5" t="n"/>
    </row>
    <row r="128">
      <c r="A128" s="9" t="inlineStr">
        <is>
          <t>Circuit Breaker</t>
        </is>
      </c>
      <c r="B128" s="5" t="n"/>
      <c r="C128" s="5" t="n"/>
      <c r="D128" s="5" t="n"/>
      <c r="E128" s="5" t="n"/>
      <c r="F128" s="5" t="n"/>
    </row>
    <row r="129">
      <c r="A129" s="9" t="inlineStr">
        <is>
          <t>Canary</t>
        </is>
      </c>
      <c r="B129" s="5" t="n"/>
      <c r="C129" s="5" t="n"/>
      <c r="D129" s="5" t="n"/>
      <c r="E129" s="5" t="n"/>
      <c r="F129" s="5" t="n"/>
    </row>
    <row r="130">
      <c r="A130" s="9" t="inlineStr">
        <is>
          <t>HDD</t>
        </is>
      </c>
      <c r="B130" s="5" t="n"/>
      <c r="C130" s="5" t="n"/>
      <c r="D130" s="5" t="n"/>
      <c r="E130" s="5" t="n"/>
      <c r="F130" s="5" t="n"/>
    </row>
    <row r="131">
      <c r="A131" s="9" t="inlineStr">
        <is>
          <t>ODD</t>
        </is>
      </c>
      <c r="B131" s="5" t="n"/>
      <c r="C131" s="5" t="n"/>
      <c r="D131" s="5" t="n"/>
      <c r="E131" s="5" t="n"/>
      <c r="F131" s="5" t="n"/>
    </row>
    <row r="132">
      <c r="A132" s="9" t="inlineStr">
        <is>
          <t>Ablation</t>
        </is>
      </c>
      <c r="B132" s="5" t="n"/>
      <c r="C132" s="5" t="n"/>
      <c r="D132" s="5" t="n"/>
      <c r="E132" s="5" t="n"/>
      <c r="F132" s="5" t="n"/>
    </row>
    <row r="133">
      <c r="A133" s="9" t="inlineStr">
        <is>
          <t>Causal Inference</t>
        </is>
      </c>
      <c r="B133" s="5" t="n"/>
      <c r="C133" s="5" t="n"/>
      <c r="D133" s="5" t="n"/>
      <c r="E133" s="5" t="n"/>
      <c r="F133" s="5" t="n"/>
    </row>
    <row r="134">
      <c r="A134" s="9" t="inlineStr">
        <is>
          <t>EVOI</t>
        </is>
      </c>
      <c r="B134" s="5" t="n"/>
      <c r="C134" s="5" t="n"/>
      <c r="D134" s="5" t="n"/>
      <c r="E134" s="5" t="n"/>
      <c r="F134" s="5" t="n"/>
    </row>
    <row r="135">
      <c r="A135" s="9" t="inlineStr">
        <is>
          <t>Thompson Sampling</t>
        </is>
      </c>
      <c r="B135" s="5" t="n"/>
      <c r="C135" s="5" t="n"/>
      <c r="D135" s="5" t="n"/>
      <c r="E135" s="5" t="n"/>
      <c r="F135" s="5" t="n"/>
    </row>
    <row r="136">
      <c r="A136" s="9" t="inlineStr">
        <is>
          <t>Information Gain</t>
        </is>
      </c>
      <c r="B136" s="5" t="n"/>
      <c r="C136" s="5" t="n"/>
      <c r="D136" s="5" t="n"/>
      <c r="E136" s="5" t="n"/>
      <c r="F136" s="5" t="n"/>
    </row>
    <row r="137">
      <c r="A137" s="9" t="inlineStr">
        <is>
          <t>Red Teaming</t>
        </is>
      </c>
      <c r="B137" s="5" t="n"/>
      <c r="C137" s="5" t="n"/>
      <c r="D137" s="5" t="n"/>
      <c r="E137" s="5" t="n"/>
      <c r="F137" s="5" t="n"/>
    </row>
    <row r="138">
      <c r="A138" s="9" t="inlineStr">
        <is>
          <t>HRO</t>
        </is>
      </c>
      <c r="B138" s="5" t="n"/>
      <c r="C138" s="5" t="n"/>
      <c r="D138" s="5" t="n"/>
      <c r="E138" s="5" t="n"/>
      <c r="F138" s="5" t="n"/>
    </row>
    <row r="139">
      <c r="A139" s="9" t="inlineStr">
        <is>
          <t>Requisite Variety</t>
        </is>
      </c>
      <c r="B139" s="5" t="n"/>
      <c r="C139" s="5" t="n"/>
      <c r="D139" s="5" t="n"/>
      <c r="E139" s="5" t="n"/>
      <c r="F13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6" customWidth="1" min="5" max="5"/>
    <col width="14" customWidth="1" min="6" max="6"/>
    <col width="10" customWidth="1" min="7" max="7"/>
  </cols>
  <sheetData>
    <row r="1">
      <c r="A1" s="1" t="inlineStr">
        <is>
          <t>CALIBRATION CURVE DATA</t>
        </is>
      </c>
    </row>
    <row r="2">
      <c r="A2" s="2" t="inlineStr">
        <is>
          <t>Track overconfidence/underconfidence across all projects</t>
        </is>
      </c>
    </row>
    <row r="4">
      <c r="A4" s="3" t="inlineStr">
        <is>
          <t>Project #</t>
        </is>
      </c>
      <c r="B4" s="3" t="inlineStr">
        <is>
          <t>Phase</t>
        </is>
      </c>
      <c r="C4" s="3" t="inlineStr">
        <is>
          <t>Estimate Description</t>
        </is>
      </c>
      <c r="D4" s="3" t="inlineStr">
        <is>
          <t>Stated Confidence</t>
        </is>
      </c>
      <c r="E4" s="3" t="inlineStr">
        <is>
          <t>Actual Outcome (0/1)</t>
        </is>
      </c>
      <c r="F4" s="3" t="inlineStr">
        <is>
          <t>Squared Error</t>
        </is>
      </c>
      <c r="G4" s="3" t="inlineStr">
        <is>
          <t>Bin</t>
        </is>
      </c>
    </row>
    <row r="5">
      <c r="A5" s="4" t="n"/>
      <c r="B5" s="4" t="n"/>
      <c r="C5" s="4" t="n"/>
      <c r="D5" s="5" t="n"/>
      <c r="E5" s="5" t="n"/>
      <c r="F5" s="6">
        <f>IFERROR((D5-E5)^2,"")</f>
        <v/>
      </c>
      <c r="G5" s="4">
        <f>IF(D5="","",IF(D5&lt;0.2,"0-20%",IF(D5&lt;0.4,"20-40%",IF(D5&lt;0.6,"40-60%",IF(D5&lt;0.8,"60-80%","80-100%")))))</f>
        <v/>
      </c>
    </row>
    <row r="6">
      <c r="A6" s="4" t="n"/>
      <c r="B6" s="4" t="n"/>
      <c r="C6" s="4" t="n"/>
      <c r="D6" s="5" t="n"/>
      <c r="E6" s="5" t="n"/>
      <c r="F6" s="6">
        <f>IFERROR((D6-E6)^2,"")</f>
        <v/>
      </c>
      <c r="G6" s="4">
        <f>IF(D6="","",IF(D6&lt;0.2,"0-20%",IF(D6&lt;0.4,"20-40%",IF(D6&lt;0.6,"40-60%",IF(D6&lt;0.8,"60-80%","80-100%")))))</f>
        <v/>
      </c>
    </row>
    <row r="7">
      <c r="A7" s="4" t="n"/>
      <c r="B7" s="4" t="n"/>
      <c r="C7" s="4" t="n"/>
      <c r="D7" s="5" t="n"/>
      <c r="E7" s="5" t="n"/>
      <c r="F7" s="6">
        <f>IFERROR((D7-E7)^2,"")</f>
        <v/>
      </c>
      <c r="G7" s="4">
        <f>IF(D7="","",IF(D7&lt;0.2,"0-20%",IF(D7&lt;0.4,"20-40%",IF(D7&lt;0.6,"40-60%",IF(D7&lt;0.8,"60-80%","80-100%")))))</f>
        <v/>
      </c>
    </row>
    <row r="8">
      <c r="A8" s="4" t="n"/>
      <c r="B8" s="4" t="n"/>
      <c r="C8" s="4" t="n"/>
      <c r="D8" s="5" t="n"/>
      <c r="E8" s="5" t="n"/>
      <c r="F8" s="6">
        <f>IFERROR((D8-E8)^2,"")</f>
        <v/>
      </c>
      <c r="G8" s="4">
        <f>IF(D8="","",IF(D8&lt;0.2,"0-20%",IF(D8&lt;0.4,"20-40%",IF(D8&lt;0.6,"40-60%",IF(D8&lt;0.8,"60-80%","80-100%")))))</f>
        <v/>
      </c>
    </row>
    <row r="9">
      <c r="A9" s="4" t="n"/>
      <c r="B9" s="4" t="n"/>
      <c r="C9" s="4" t="n"/>
      <c r="D9" s="5" t="n"/>
      <c r="E9" s="5" t="n"/>
      <c r="F9" s="6">
        <f>IFERROR((D9-E9)^2,"")</f>
        <v/>
      </c>
      <c r="G9" s="4">
        <f>IF(D9="","",IF(D9&lt;0.2,"0-20%",IF(D9&lt;0.4,"20-40%",IF(D9&lt;0.6,"40-60%",IF(D9&lt;0.8,"60-80%","80-100%")))))</f>
        <v/>
      </c>
    </row>
    <row r="10">
      <c r="A10" s="4" t="n"/>
      <c r="B10" s="4" t="n"/>
      <c r="C10" s="4" t="n"/>
      <c r="D10" s="5" t="n"/>
      <c r="E10" s="5" t="n"/>
      <c r="F10" s="6">
        <f>IFERROR((D10-E10)^2,"")</f>
        <v/>
      </c>
      <c r="G10" s="4">
        <f>IF(D10="","",IF(D10&lt;0.2,"0-20%",IF(D10&lt;0.4,"20-40%",IF(D10&lt;0.6,"40-60%",IF(D10&lt;0.8,"60-80%","80-100%")))))</f>
        <v/>
      </c>
    </row>
    <row r="11">
      <c r="A11" s="4" t="n"/>
      <c r="B11" s="4" t="n"/>
      <c r="C11" s="4" t="n"/>
      <c r="D11" s="5" t="n"/>
      <c r="E11" s="5" t="n"/>
      <c r="F11" s="6">
        <f>IFERROR((D11-E11)^2,"")</f>
        <v/>
      </c>
      <c r="G11" s="4">
        <f>IF(D11="","",IF(D11&lt;0.2,"0-20%",IF(D11&lt;0.4,"20-40%",IF(D11&lt;0.6,"40-60%",IF(D11&lt;0.8,"60-80%","80-100%")))))</f>
        <v/>
      </c>
    </row>
    <row r="12">
      <c r="A12" s="4" t="n"/>
      <c r="B12" s="4" t="n"/>
      <c r="C12" s="4" t="n"/>
      <c r="D12" s="5" t="n"/>
      <c r="E12" s="5" t="n"/>
      <c r="F12" s="6">
        <f>IFERROR((D12-E12)^2,"")</f>
        <v/>
      </c>
      <c r="G12" s="4">
        <f>IF(D12="","",IF(D12&lt;0.2,"0-20%",IF(D12&lt;0.4,"20-40%",IF(D12&lt;0.6,"40-60%",IF(D12&lt;0.8,"60-80%","80-100%")))))</f>
        <v/>
      </c>
    </row>
    <row r="13">
      <c r="A13" s="4" t="n"/>
      <c r="B13" s="4" t="n"/>
      <c r="C13" s="4" t="n"/>
      <c r="D13" s="5" t="n"/>
      <c r="E13" s="5" t="n"/>
      <c r="F13" s="6">
        <f>IFERROR((D13-E13)^2,"")</f>
        <v/>
      </c>
      <c r="G13" s="4">
        <f>IF(D13="","",IF(D13&lt;0.2,"0-20%",IF(D13&lt;0.4,"20-40%",IF(D13&lt;0.6,"40-60%",IF(D13&lt;0.8,"60-80%","80-100%")))))</f>
        <v/>
      </c>
    </row>
    <row r="14">
      <c r="A14" s="4" t="n"/>
      <c r="B14" s="4" t="n"/>
      <c r="C14" s="4" t="n"/>
      <c r="D14" s="5" t="n"/>
      <c r="E14" s="5" t="n"/>
      <c r="F14" s="6">
        <f>IFERROR((D14-E14)^2,"")</f>
        <v/>
      </c>
      <c r="G14" s="4">
        <f>IF(D14="","",IF(D14&lt;0.2,"0-20%",IF(D14&lt;0.4,"20-40%",IF(D14&lt;0.6,"40-60%",IF(D14&lt;0.8,"60-80%","80-100%")))))</f>
        <v/>
      </c>
    </row>
    <row r="15">
      <c r="A15" s="4" t="n"/>
      <c r="B15" s="4" t="n"/>
      <c r="C15" s="4" t="n"/>
      <c r="D15" s="5" t="n"/>
      <c r="E15" s="5" t="n"/>
      <c r="F15" s="6">
        <f>IFERROR((D15-E15)^2,"")</f>
        <v/>
      </c>
      <c r="G15" s="4">
        <f>IF(D15="","",IF(D15&lt;0.2,"0-20%",IF(D15&lt;0.4,"20-40%",IF(D15&lt;0.6,"40-60%",IF(D15&lt;0.8,"60-80%","80-100%")))))</f>
        <v/>
      </c>
    </row>
    <row r="16">
      <c r="A16" s="4" t="n"/>
      <c r="B16" s="4" t="n"/>
      <c r="C16" s="4" t="n"/>
      <c r="D16" s="5" t="n"/>
      <c r="E16" s="5" t="n"/>
      <c r="F16" s="6">
        <f>IFERROR((D16-E16)^2,"")</f>
        <v/>
      </c>
      <c r="G16" s="4">
        <f>IF(D16="","",IF(D16&lt;0.2,"0-20%",IF(D16&lt;0.4,"20-40%",IF(D16&lt;0.6,"40-60%",IF(D16&lt;0.8,"60-80%","80-100%")))))</f>
        <v/>
      </c>
    </row>
    <row r="17">
      <c r="A17" s="4" t="n"/>
      <c r="B17" s="4" t="n"/>
      <c r="C17" s="4" t="n"/>
      <c r="D17" s="5" t="n"/>
      <c r="E17" s="5" t="n"/>
      <c r="F17" s="6">
        <f>IFERROR((D17-E17)^2,"")</f>
        <v/>
      </c>
      <c r="G17" s="4">
        <f>IF(D17="","",IF(D17&lt;0.2,"0-20%",IF(D17&lt;0.4,"20-40%",IF(D17&lt;0.6,"40-60%",IF(D17&lt;0.8,"60-80%","80-100%")))))</f>
        <v/>
      </c>
    </row>
    <row r="18">
      <c r="A18" s="4" t="n"/>
      <c r="B18" s="4" t="n"/>
      <c r="C18" s="4" t="n"/>
      <c r="D18" s="5" t="n"/>
      <c r="E18" s="5" t="n"/>
      <c r="F18" s="6">
        <f>IFERROR((D18-E18)^2,"")</f>
        <v/>
      </c>
      <c r="G18" s="4">
        <f>IF(D18="","",IF(D18&lt;0.2,"0-20%",IF(D18&lt;0.4,"20-40%",IF(D18&lt;0.6,"40-60%",IF(D18&lt;0.8,"60-80%","80-100%")))))</f>
        <v/>
      </c>
    </row>
    <row r="19">
      <c r="A19" s="4" t="n"/>
      <c r="B19" s="4" t="n"/>
      <c r="C19" s="4" t="n"/>
      <c r="D19" s="5" t="n"/>
      <c r="E19" s="5" t="n"/>
      <c r="F19" s="6">
        <f>IFERROR((D19-E19)^2,"")</f>
        <v/>
      </c>
      <c r="G19" s="4">
        <f>IF(D19="","",IF(D19&lt;0.2,"0-20%",IF(D19&lt;0.4,"20-40%",IF(D19&lt;0.6,"40-60%",IF(D19&lt;0.8,"60-80%","80-100%")))))</f>
        <v/>
      </c>
    </row>
    <row r="20">
      <c r="A20" s="4" t="n"/>
      <c r="B20" s="4" t="n"/>
      <c r="C20" s="4" t="n"/>
      <c r="D20" s="5" t="n"/>
      <c r="E20" s="5" t="n"/>
      <c r="F20" s="6">
        <f>IFERROR((D20-E20)^2,"")</f>
        <v/>
      </c>
      <c r="G20" s="4">
        <f>IF(D20="","",IF(D20&lt;0.2,"0-20%",IF(D20&lt;0.4,"20-40%",IF(D20&lt;0.6,"40-60%",IF(D20&lt;0.8,"60-80%","80-100%")))))</f>
        <v/>
      </c>
    </row>
    <row r="21">
      <c r="A21" s="4" t="n"/>
      <c r="B21" s="4" t="n"/>
      <c r="C21" s="4" t="n"/>
      <c r="D21" s="5" t="n"/>
      <c r="E21" s="5" t="n"/>
      <c r="F21" s="6">
        <f>IFERROR((D21-E21)^2,"")</f>
        <v/>
      </c>
      <c r="G21" s="4">
        <f>IF(D21="","",IF(D21&lt;0.2,"0-20%",IF(D21&lt;0.4,"20-40%",IF(D21&lt;0.6,"40-60%",IF(D21&lt;0.8,"60-80%","80-100%")))))</f>
        <v/>
      </c>
    </row>
    <row r="22">
      <c r="A22" s="4" t="n"/>
      <c r="B22" s="4" t="n"/>
      <c r="C22" s="4" t="n"/>
      <c r="D22" s="5" t="n"/>
      <c r="E22" s="5" t="n"/>
      <c r="F22" s="6">
        <f>IFERROR((D22-E22)^2,"")</f>
        <v/>
      </c>
      <c r="G22" s="4">
        <f>IF(D22="","",IF(D22&lt;0.2,"0-20%",IF(D22&lt;0.4,"20-40%",IF(D22&lt;0.6,"40-60%",IF(D22&lt;0.8,"60-80%","80-100%")))))</f>
        <v/>
      </c>
    </row>
    <row r="23">
      <c r="A23" s="4" t="n"/>
      <c r="B23" s="4" t="n"/>
      <c r="C23" s="4" t="n"/>
      <c r="D23" s="5" t="n"/>
      <c r="E23" s="5" t="n"/>
      <c r="F23" s="6">
        <f>IFERROR((D23-E23)^2,"")</f>
        <v/>
      </c>
      <c r="G23" s="4">
        <f>IF(D23="","",IF(D23&lt;0.2,"0-20%",IF(D23&lt;0.4,"20-40%",IF(D23&lt;0.6,"40-60%",IF(D23&lt;0.8,"60-80%","80-100%")))))</f>
        <v/>
      </c>
    </row>
    <row r="24">
      <c r="A24" s="4" t="n"/>
      <c r="B24" s="4" t="n"/>
      <c r="C24" s="4" t="n"/>
      <c r="D24" s="5" t="n"/>
      <c r="E24" s="5" t="n"/>
      <c r="F24" s="6">
        <f>IFERROR((D24-E24)^2,"")</f>
        <v/>
      </c>
      <c r="G24" s="4">
        <f>IF(D24="","",IF(D24&lt;0.2,"0-20%",IF(D24&lt;0.4,"20-40%",IF(D24&lt;0.6,"40-60%",IF(D24&lt;0.8,"60-80%","80-100%")))))</f>
        <v/>
      </c>
    </row>
    <row r="25">
      <c r="A25" s="4" t="n"/>
      <c r="B25" s="4" t="n"/>
      <c r="C25" s="4" t="n"/>
      <c r="D25" s="5" t="n"/>
      <c r="E25" s="5" t="n"/>
      <c r="F25" s="6">
        <f>IFERROR((D25-E25)^2,"")</f>
        <v/>
      </c>
      <c r="G25" s="4">
        <f>IF(D25="","",IF(D25&lt;0.2,"0-20%",IF(D25&lt;0.4,"20-40%",IF(D25&lt;0.6,"40-60%",IF(D25&lt;0.8,"60-80%","80-100%")))))</f>
        <v/>
      </c>
    </row>
    <row r="26">
      <c r="A26" s="4" t="n"/>
      <c r="B26" s="4" t="n"/>
      <c r="C26" s="4" t="n"/>
      <c r="D26" s="5" t="n"/>
      <c r="E26" s="5" t="n"/>
      <c r="F26" s="6">
        <f>IFERROR((D26-E26)^2,"")</f>
        <v/>
      </c>
      <c r="G26" s="4">
        <f>IF(D26="","",IF(D26&lt;0.2,"0-20%",IF(D26&lt;0.4,"20-40%",IF(D26&lt;0.6,"40-60%",IF(D26&lt;0.8,"60-80%","80-100%")))))</f>
        <v/>
      </c>
    </row>
    <row r="27">
      <c r="A27" s="4" t="n"/>
      <c r="B27" s="4" t="n"/>
      <c r="C27" s="4" t="n"/>
      <c r="D27" s="5" t="n"/>
      <c r="E27" s="5" t="n"/>
      <c r="F27" s="6">
        <f>IFERROR((D27-E27)^2,"")</f>
        <v/>
      </c>
      <c r="G27" s="4">
        <f>IF(D27="","",IF(D27&lt;0.2,"0-20%",IF(D27&lt;0.4,"20-40%",IF(D27&lt;0.6,"40-60%",IF(D27&lt;0.8,"60-80%","80-100%")))))</f>
        <v/>
      </c>
    </row>
    <row r="28">
      <c r="A28" s="4" t="n"/>
      <c r="B28" s="4" t="n"/>
      <c r="C28" s="4" t="n"/>
      <c r="D28" s="5" t="n"/>
      <c r="E28" s="5" t="n"/>
      <c r="F28" s="6">
        <f>IFERROR((D28-E28)^2,"")</f>
        <v/>
      </c>
      <c r="G28" s="4">
        <f>IF(D28="","",IF(D28&lt;0.2,"0-20%",IF(D28&lt;0.4,"20-40%",IF(D28&lt;0.6,"40-60%",IF(D28&lt;0.8,"60-80%","80-100%")))))</f>
        <v/>
      </c>
    </row>
    <row r="29">
      <c r="A29" s="4" t="n"/>
      <c r="B29" s="4" t="n"/>
      <c r="C29" s="4" t="n"/>
      <c r="D29" s="5" t="n"/>
      <c r="E29" s="5" t="n"/>
      <c r="F29" s="6">
        <f>IFERROR((D29-E29)^2,"")</f>
        <v/>
      </c>
      <c r="G29" s="4">
        <f>IF(D29="","",IF(D29&lt;0.2,"0-20%",IF(D29&lt;0.4,"20-40%",IF(D29&lt;0.6,"40-60%",IF(D29&lt;0.8,"60-80%","80-100%")))))</f>
        <v/>
      </c>
    </row>
    <row r="30">
      <c r="A30" s="4" t="n"/>
      <c r="B30" s="4" t="n"/>
      <c r="C30" s="4" t="n"/>
      <c r="D30" s="5" t="n"/>
      <c r="E30" s="5" t="n"/>
      <c r="F30" s="6">
        <f>IFERROR((D30-E30)^2,"")</f>
        <v/>
      </c>
      <c r="G30" s="4">
        <f>IF(D30="","",IF(D30&lt;0.2,"0-20%",IF(D30&lt;0.4,"20-40%",IF(D30&lt;0.6,"40-60%",IF(D30&lt;0.8,"60-80%","80-100%")))))</f>
        <v/>
      </c>
    </row>
    <row r="31">
      <c r="A31" s="4" t="n"/>
      <c r="B31" s="4" t="n"/>
      <c r="C31" s="4" t="n"/>
      <c r="D31" s="5" t="n"/>
      <c r="E31" s="5" t="n"/>
      <c r="F31" s="6">
        <f>IFERROR((D31-E31)^2,"")</f>
        <v/>
      </c>
      <c r="G31" s="4">
        <f>IF(D31="","",IF(D31&lt;0.2,"0-20%",IF(D31&lt;0.4,"20-40%",IF(D31&lt;0.6,"40-60%",IF(D31&lt;0.8,"60-80%","80-100%")))))</f>
        <v/>
      </c>
    </row>
    <row r="32">
      <c r="A32" s="4" t="n"/>
      <c r="B32" s="4" t="n"/>
      <c r="C32" s="4" t="n"/>
      <c r="D32" s="5" t="n"/>
      <c r="E32" s="5" t="n"/>
      <c r="F32" s="6">
        <f>IFERROR((D32-E32)^2,"")</f>
        <v/>
      </c>
      <c r="G32" s="4">
        <f>IF(D32="","",IF(D32&lt;0.2,"0-20%",IF(D32&lt;0.4,"20-40%",IF(D32&lt;0.6,"40-60%",IF(D32&lt;0.8,"60-80%","80-100%")))))</f>
        <v/>
      </c>
    </row>
    <row r="33">
      <c r="A33" s="4" t="n"/>
      <c r="B33" s="4" t="n"/>
      <c r="C33" s="4" t="n"/>
      <c r="D33" s="5" t="n"/>
      <c r="E33" s="5" t="n"/>
      <c r="F33" s="6">
        <f>IFERROR((D33-E33)^2,"")</f>
        <v/>
      </c>
      <c r="G33" s="4">
        <f>IF(D33="","",IF(D33&lt;0.2,"0-20%",IF(D33&lt;0.4,"20-40%",IF(D33&lt;0.6,"40-60%",IF(D33&lt;0.8,"60-80%","80-100%")))))</f>
        <v/>
      </c>
    </row>
    <row r="34">
      <c r="A34" s="4" t="n"/>
      <c r="B34" s="4" t="n"/>
      <c r="C34" s="4" t="n"/>
      <c r="D34" s="5" t="n"/>
      <c r="E34" s="5" t="n"/>
      <c r="F34" s="6">
        <f>IFERROR((D34-E34)^2,"")</f>
        <v/>
      </c>
      <c r="G34" s="4">
        <f>IF(D34="","",IF(D34&lt;0.2,"0-20%",IF(D34&lt;0.4,"20-40%",IF(D34&lt;0.6,"40-60%",IF(D34&lt;0.8,"60-80%","80-100%")))))</f>
        <v/>
      </c>
    </row>
    <row r="35">
      <c r="A35" s="4" t="n"/>
      <c r="B35" s="4" t="n"/>
      <c r="C35" s="4" t="n"/>
      <c r="D35" s="5" t="n"/>
      <c r="E35" s="5" t="n"/>
      <c r="F35" s="6">
        <f>IFERROR((D35-E35)^2,"")</f>
        <v/>
      </c>
      <c r="G35" s="4">
        <f>IF(D35="","",IF(D35&lt;0.2,"0-20%",IF(D35&lt;0.4,"20-40%",IF(D35&lt;0.6,"40-60%",IF(D35&lt;0.8,"60-80%","80-100%")))))</f>
        <v/>
      </c>
    </row>
    <row r="36">
      <c r="A36" s="4" t="n"/>
      <c r="B36" s="4" t="n"/>
      <c r="C36" s="4" t="n"/>
      <c r="D36" s="5" t="n"/>
      <c r="E36" s="5" t="n"/>
      <c r="F36" s="6">
        <f>IFERROR((D36-E36)^2,"")</f>
        <v/>
      </c>
      <c r="G36" s="4">
        <f>IF(D36="","",IF(D36&lt;0.2,"0-20%",IF(D36&lt;0.4,"20-40%",IF(D36&lt;0.6,"40-60%",IF(D36&lt;0.8,"60-80%","80-100%")))))</f>
        <v/>
      </c>
    </row>
    <row r="37">
      <c r="A37" s="4" t="n"/>
      <c r="B37" s="4" t="n"/>
      <c r="C37" s="4" t="n"/>
      <c r="D37" s="5" t="n"/>
      <c r="E37" s="5" t="n"/>
      <c r="F37" s="6">
        <f>IFERROR((D37-E37)^2,"")</f>
        <v/>
      </c>
      <c r="G37" s="4">
        <f>IF(D37="","",IF(D37&lt;0.2,"0-20%",IF(D37&lt;0.4,"20-40%",IF(D37&lt;0.6,"40-60%",IF(D37&lt;0.8,"60-80%","80-100%")))))</f>
        <v/>
      </c>
    </row>
    <row r="38">
      <c r="A38" s="4" t="n"/>
      <c r="B38" s="4" t="n"/>
      <c r="C38" s="4" t="n"/>
      <c r="D38" s="5" t="n"/>
      <c r="E38" s="5" t="n"/>
      <c r="F38" s="6">
        <f>IFERROR((D38-E38)^2,"")</f>
        <v/>
      </c>
      <c r="G38" s="4">
        <f>IF(D38="","",IF(D38&lt;0.2,"0-20%",IF(D38&lt;0.4,"20-40%",IF(D38&lt;0.6,"40-60%",IF(D38&lt;0.8,"60-80%","80-100%")))))</f>
        <v/>
      </c>
    </row>
    <row r="39">
      <c r="A39" s="4" t="n"/>
      <c r="B39" s="4" t="n"/>
      <c r="C39" s="4" t="n"/>
      <c r="D39" s="5" t="n"/>
      <c r="E39" s="5" t="n"/>
      <c r="F39" s="6">
        <f>IFERROR((D39-E39)^2,"")</f>
        <v/>
      </c>
      <c r="G39" s="4">
        <f>IF(D39="","",IF(D39&lt;0.2,"0-20%",IF(D39&lt;0.4,"20-40%",IF(D39&lt;0.6,"40-60%",IF(D39&lt;0.8,"60-80%","80-100%")))))</f>
        <v/>
      </c>
    </row>
    <row r="40">
      <c r="A40" s="4" t="n"/>
      <c r="B40" s="4" t="n"/>
      <c r="C40" s="4" t="n"/>
      <c r="D40" s="5" t="n"/>
      <c r="E40" s="5" t="n"/>
      <c r="F40" s="6">
        <f>IFERROR((D40-E40)^2,"")</f>
        <v/>
      </c>
      <c r="G40" s="4">
        <f>IF(D40="","",IF(D40&lt;0.2,"0-20%",IF(D40&lt;0.4,"20-40%",IF(D40&lt;0.6,"40-60%",IF(D40&lt;0.8,"60-80%","80-100%")))))</f>
        <v/>
      </c>
    </row>
    <row r="41">
      <c r="A41" s="4" t="n"/>
      <c r="B41" s="4" t="n"/>
      <c r="C41" s="4" t="n"/>
      <c r="D41" s="5" t="n"/>
      <c r="E41" s="5" t="n"/>
      <c r="F41" s="6">
        <f>IFERROR((D41-E41)^2,"")</f>
        <v/>
      </c>
      <c r="G41" s="4">
        <f>IF(D41="","",IF(D41&lt;0.2,"0-20%",IF(D41&lt;0.4,"20-40%",IF(D41&lt;0.6,"40-60%",IF(D41&lt;0.8,"60-80%","80-100%")))))</f>
        <v/>
      </c>
    </row>
    <row r="42">
      <c r="A42" s="4" t="n"/>
      <c r="B42" s="4" t="n"/>
      <c r="C42" s="4" t="n"/>
      <c r="D42" s="5" t="n"/>
      <c r="E42" s="5" t="n"/>
      <c r="F42" s="6">
        <f>IFERROR((D42-E42)^2,"")</f>
        <v/>
      </c>
      <c r="G42" s="4">
        <f>IF(D42="","",IF(D42&lt;0.2,"0-20%",IF(D42&lt;0.4,"20-40%",IF(D42&lt;0.6,"40-60%",IF(D42&lt;0.8,"60-80%","80-100%")))))</f>
        <v/>
      </c>
    </row>
    <row r="43">
      <c r="A43" s="4" t="n"/>
      <c r="B43" s="4" t="n"/>
      <c r="C43" s="4" t="n"/>
      <c r="D43" s="5" t="n"/>
      <c r="E43" s="5" t="n"/>
      <c r="F43" s="6">
        <f>IFERROR((D43-E43)^2,"")</f>
        <v/>
      </c>
      <c r="G43" s="4">
        <f>IF(D43="","",IF(D43&lt;0.2,"0-20%",IF(D43&lt;0.4,"20-40%",IF(D43&lt;0.6,"40-60%",IF(D43&lt;0.8,"60-80%","80-100%")))))</f>
        <v/>
      </c>
    </row>
    <row r="44">
      <c r="A44" s="4" t="n"/>
      <c r="B44" s="4" t="n"/>
      <c r="C44" s="4" t="n"/>
      <c r="D44" s="5" t="n"/>
      <c r="E44" s="5" t="n"/>
      <c r="F44" s="6">
        <f>IFERROR((D44-E44)^2,"")</f>
        <v/>
      </c>
      <c r="G44" s="4">
        <f>IF(D44="","",IF(D44&lt;0.2,"0-20%",IF(D44&lt;0.4,"20-40%",IF(D44&lt;0.6,"40-60%",IF(D44&lt;0.8,"60-80%","80-100%")))))</f>
        <v/>
      </c>
    </row>
    <row r="45">
      <c r="A45" s="4" t="n"/>
      <c r="B45" s="4" t="n"/>
      <c r="C45" s="4" t="n"/>
      <c r="D45" s="5" t="n"/>
      <c r="E45" s="5" t="n"/>
      <c r="F45" s="6">
        <f>IFERROR((D45-E45)^2,"")</f>
        <v/>
      </c>
      <c r="G45" s="4">
        <f>IF(D45="","",IF(D45&lt;0.2,"0-20%",IF(D45&lt;0.4,"20-40%",IF(D45&lt;0.6,"40-60%",IF(D45&lt;0.8,"60-80%","80-100%")))))</f>
        <v/>
      </c>
    </row>
    <row r="46">
      <c r="A46" s="4" t="n"/>
      <c r="B46" s="4" t="n"/>
      <c r="C46" s="4" t="n"/>
      <c r="D46" s="5" t="n"/>
      <c r="E46" s="5" t="n"/>
      <c r="F46" s="6">
        <f>IFERROR((D46-E46)^2,"")</f>
        <v/>
      </c>
      <c r="G46" s="4">
        <f>IF(D46="","",IF(D46&lt;0.2,"0-20%",IF(D46&lt;0.4,"20-40%",IF(D46&lt;0.6,"40-60%",IF(D46&lt;0.8,"60-80%","80-100%")))))</f>
        <v/>
      </c>
    </row>
    <row r="47">
      <c r="A47" s="4" t="n"/>
      <c r="B47" s="4" t="n"/>
      <c r="C47" s="4" t="n"/>
      <c r="D47" s="5" t="n"/>
      <c r="E47" s="5" t="n"/>
      <c r="F47" s="6">
        <f>IFERROR((D47-E47)^2,"")</f>
        <v/>
      </c>
      <c r="G47" s="4">
        <f>IF(D47="","",IF(D47&lt;0.2,"0-20%",IF(D47&lt;0.4,"20-40%",IF(D47&lt;0.6,"40-60%",IF(D47&lt;0.8,"60-80%","80-100%")))))</f>
        <v/>
      </c>
    </row>
    <row r="48">
      <c r="A48" s="4" t="n"/>
      <c r="B48" s="4" t="n"/>
      <c r="C48" s="4" t="n"/>
      <c r="D48" s="5" t="n"/>
      <c r="E48" s="5" t="n"/>
      <c r="F48" s="6">
        <f>IFERROR((D48-E48)^2,"")</f>
        <v/>
      </c>
      <c r="G48" s="4">
        <f>IF(D48="","",IF(D48&lt;0.2,"0-20%",IF(D48&lt;0.4,"20-40%",IF(D48&lt;0.6,"40-60%",IF(D48&lt;0.8,"60-80%","80-100%")))))</f>
        <v/>
      </c>
    </row>
    <row r="49">
      <c r="A49" s="4" t="n"/>
      <c r="B49" s="4" t="n"/>
      <c r="C49" s="4" t="n"/>
      <c r="D49" s="5" t="n"/>
      <c r="E49" s="5" t="n"/>
      <c r="F49" s="6">
        <f>IFERROR((D49-E49)^2,"")</f>
        <v/>
      </c>
      <c r="G49" s="4">
        <f>IF(D49="","",IF(D49&lt;0.2,"0-20%",IF(D49&lt;0.4,"20-40%",IF(D49&lt;0.6,"40-60%",IF(D49&lt;0.8,"60-80%","80-100%")))))</f>
        <v/>
      </c>
    </row>
    <row r="50">
      <c r="A50" s="4" t="n"/>
      <c r="B50" s="4" t="n"/>
      <c r="C50" s="4" t="n"/>
      <c r="D50" s="5" t="n"/>
      <c r="E50" s="5" t="n"/>
      <c r="F50" s="6">
        <f>IFERROR((D50-E50)^2,"")</f>
        <v/>
      </c>
      <c r="G50" s="4">
        <f>IF(D50="","",IF(D50&lt;0.2,"0-20%",IF(D50&lt;0.4,"20-40%",IF(D50&lt;0.6,"40-60%",IF(D50&lt;0.8,"60-80%","80-100%")))))</f>
        <v/>
      </c>
    </row>
    <row r="51">
      <c r="A51" s="4" t="n"/>
      <c r="B51" s="4" t="n"/>
      <c r="C51" s="4" t="n"/>
      <c r="D51" s="5" t="n"/>
      <c r="E51" s="5" t="n"/>
      <c r="F51" s="6">
        <f>IFERROR((D51-E51)^2,"")</f>
        <v/>
      </c>
      <c r="G51" s="4">
        <f>IF(D51="","",IF(D51&lt;0.2,"0-20%",IF(D51&lt;0.4,"20-40%",IF(D51&lt;0.6,"40-60%",IF(D51&lt;0.8,"60-80%","80-100%")))))</f>
        <v/>
      </c>
    </row>
    <row r="52">
      <c r="A52" s="4" t="n"/>
      <c r="B52" s="4" t="n"/>
      <c r="C52" s="4" t="n"/>
      <c r="D52" s="5" t="n"/>
      <c r="E52" s="5" t="n"/>
      <c r="F52" s="6">
        <f>IFERROR((D52-E52)^2,"")</f>
        <v/>
      </c>
      <c r="G52" s="4">
        <f>IF(D52="","",IF(D52&lt;0.2,"0-20%",IF(D52&lt;0.4,"20-40%",IF(D52&lt;0.6,"40-60%",IF(D52&lt;0.8,"60-80%","80-100%")))))</f>
        <v/>
      </c>
    </row>
    <row r="53">
      <c r="A53" s="4" t="n"/>
      <c r="B53" s="4" t="n"/>
      <c r="C53" s="4" t="n"/>
      <c r="D53" s="5" t="n"/>
      <c r="E53" s="5" t="n"/>
      <c r="F53" s="6">
        <f>IFERROR((D53-E53)^2,"")</f>
        <v/>
      </c>
      <c r="G53" s="4">
        <f>IF(D53="","",IF(D53&lt;0.2,"0-20%",IF(D53&lt;0.4,"20-40%",IF(D53&lt;0.6,"40-60%",IF(D53&lt;0.8,"60-80%","80-100%")))))</f>
        <v/>
      </c>
    </row>
    <row r="54">
      <c r="A54" s="4" t="n"/>
      <c r="B54" s="4" t="n"/>
      <c r="C54" s="4" t="n"/>
      <c r="D54" s="5" t="n"/>
      <c r="E54" s="5" t="n"/>
      <c r="F54" s="6">
        <f>IFERROR((D54-E54)^2,"")</f>
        <v/>
      </c>
      <c r="G54" s="4">
        <f>IF(D54="","",IF(D54&lt;0.2,"0-20%",IF(D54&lt;0.4,"20-40%",IF(D54&lt;0.6,"40-60%",IF(D54&lt;0.8,"60-80%","80-100%")))))</f>
        <v/>
      </c>
    </row>
    <row r="55">
      <c r="A55" s="4" t="n"/>
      <c r="B55" s="4" t="n"/>
      <c r="C55" s="4" t="n"/>
      <c r="D55" s="5" t="n"/>
      <c r="E55" s="5" t="n"/>
      <c r="F55" s="6">
        <f>IFERROR((D55-E55)^2,"")</f>
        <v/>
      </c>
      <c r="G55" s="4">
        <f>IF(D55="","",IF(D55&lt;0.2,"0-20%",IF(D55&lt;0.4,"20-40%",IF(D55&lt;0.6,"40-60%",IF(D55&lt;0.8,"60-80%","80-100%")))))</f>
        <v/>
      </c>
    </row>
    <row r="56">
      <c r="A56" s="4" t="n"/>
      <c r="B56" s="4" t="n"/>
      <c r="C56" s="4" t="n"/>
      <c r="D56" s="5" t="n"/>
      <c r="E56" s="5" t="n"/>
      <c r="F56" s="6">
        <f>IFERROR((D56-E56)^2,"")</f>
        <v/>
      </c>
      <c r="G56" s="4">
        <f>IF(D56="","",IF(D56&lt;0.2,"0-20%",IF(D56&lt;0.4,"20-40%",IF(D56&lt;0.6,"40-60%",IF(D56&lt;0.8,"60-80%","80-100%")))))</f>
        <v/>
      </c>
    </row>
    <row r="57">
      <c r="A57" s="4" t="n"/>
      <c r="B57" s="4" t="n"/>
      <c r="C57" s="4" t="n"/>
      <c r="D57" s="5" t="n"/>
      <c r="E57" s="5" t="n"/>
      <c r="F57" s="6">
        <f>IFERROR((D57-E57)^2,"")</f>
        <v/>
      </c>
      <c r="G57" s="4">
        <f>IF(D57="","",IF(D57&lt;0.2,"0-20%",IF(D57&lt;0.4,"20-40%",IF(D57&lt;0.6,"40-60%",IF(D57&lt;0.8,"60-80%","80-100%")))))</f>
        <v/>
      </c>
    </row>
    <row r="58">
      <c r="A58" s="4" t="n"/>
      <c r="B58" s="4" t="n"/>
      <c r="C58" s="4" t="n"/>
      <c r="D58" s="5" t="n"/>
      <c r="E58" s="5" t="n"/>
      <c r="F58" s="6">
        <f>IFERROR((D58-E58)^2,"")</f>
        <v/>
      </c>
      <c r="G58" s="4">
        <f>IF(D58="","",IF(D58&lt;0.2,"0-20%",IF(D58&lt;0.4,"20-40%",IF(D58&lt;0.6,"40-60%",IF(D58&lt;0.8,"60-80%","80-100%")))))</f>
        <v/>
      </c>
    </row>
    <row r="59">
      <c r="A59" s="4" t="n"/>
      <c r="B59" s="4" t="n"/>
      <c r="C59" s="4" t="n"/>
      <c r="D59" s="5" t="n"/>
      <c r="E59" s="5" t="n"/>
      <c r="F59" s="6">
        <f>IFERROR((D59-E59)^2,"")</f>
        <v/>
      </c>
      <c r="G59" s="4">
        <f>IF(D59="","",IF(D59&lt;0.2,"0-20%",IF(D59&lt;0.4,"20-40%",IF(D59&lt;0.6,"40-60%",IF(D59&lt;0.8,"60-80%","80-100%")))))</f>
        <v/>
      </c>
    </row>
    <row r="60">
      <c r="A60" s="4" t="n"/>
      <c r="B60" s="4" t="n"/>
      <c r="C60" s="4" t="n"/>
      <c r="D60" s="5" t="n"/>
      <c r="E60" s="5" t="n"/>
      <c r="F60" s="6">
        <f>IFERROR((D60-E60)^2,"")</f>
        <v/>
      </c>
      <c r="G60" s="4">
        <f>IF(D60="","",IF(D60&lt;0.2,"0-20%",IF(D60&lt;0.4,"20-40%",IF(D60&lt;0.6,"40-60%",IF(D60&lt;0.8,"60-80%","80-100%")))))</f>
        <v/>
      </c>
    </row>
    <row r="61">
      <c r="A61" s="4" t="n"/>
      <c r="B61" s="4" t="n"/>
      <c r="C61" s="4" t="n"/>
      <c r="D61" s="5" t="n"/>
      <c r="E61" s="5" t="n"/>
      <c r="F61" s="6">
        <f>IFERROR((D61-E61)^2,"")</f>
        <v/>
      </c>
      <c r="G61" s="4">
        <f>IF(D61="","",IF(D61&lt;0.2,"0-20%",IF(D61&lt;0.4,"20-40%",IF(D61&lt;0.6,"40-60%",IF(D61&lt;0.8,"60-80%","80-100%")))))</f>
        <v/>
      </c>
    </row>
    <row r="62">
      <c r="A62" s="4" t="n"/>
      <c r="B62" s="4" t="n"/>
      <c r="C62" s="4" t="n"/>
      <c r="D62" s="5" t="n"/>
      <c r="E62" s="5" t="n"/>
      <c r="F62" s="6">
        <f>IFERROR((D62-E62)^2,"")</f>
        <v/>
      </c>
      <c r="G62" s="4">
        <f>IF(D62="","",IF(D62&lt;0.2,"0-20%",IF(D62&lt;0.4,"20-40%",IF(D62&lt;0.6,"40-60%",IF(D62&lt;0.8,"60-80%","80-100%")))))</f>
        <v/>
      </c>
    </row>
    <row r="63">
      <c r="A63" s="4" t="n"/>
      <c r="B63" s="4" t="n"/>
      <c r="C63" s="4" t="n"/>
      <c r="D63" s="5" t="n"/>
      <c r="E63" s="5" t="n"/>
      <c r="F63" s="6">
        <f>IFERROR((D63-E63)^2,"")</f>
        <v/>
      </c>
      <c r="G63" s="4">
        <f>IF(D63="","",IF(D63&lt;0.2,"0-20%",IF(D63&lt;0.4,"20-40%",IF(D63&lt;0.6,"40-60%",IF(D63&lt;0.8,"60-80%","80-100%")))))</f>
        <v/>
      </c>
    </row>
    <row r="64">
      <c r="A64" s="4" t="n"/>
      <c r="B64" s="4" t="n"/>
      <c r="C64" s="4" t="n"/>
      <c r="D64" s="5" t="n"/>
      <c r="E64" s="5" t="n"/>
      <c r="F64" s="6">
        <f>IFERROR((D64-E64)^2,"")</f>
        <v/>
      </c>
      <c r="G64" s="4">
        <f>IF(D64="","",IF(D64&lt;0.2,"0-20%",IF(D64&lt;0.4,"20-40%",IF(D64&lt;0.6,"40-60%",IF(D64&lt;0.8,"60-80%","80-100%")))))</f>
        <v/>
      </c>
    </row>
    <row r="65">
      <c r="A65" s="4" t="n"/>
      <c r="B65" s="4" t="n"/>
      <c r="C65" s="4" t="n"/>
      <c r="D65" s="5" t="n"/>
      <c r="E65" s="5" t="n"/>
      <c r="F65" s="6">
        <f>IFERROR((D65-E65)^2,"")</f>
        <v/>
      </c>
      <c r="G65" s="4">
        <f>IF(D65="","",IF(D65&lt;0.2,"0-20%",IF(D65&lt;0.4,"20-40%",IF(D65&lt;0.6,"40-60%",IF(D65&lt;0.8,"60-80%","80-100%")))))</f>
        <v/>
      </c>
    </row>
    <row r="66">
      <c r="A66" s="4" t="n"/>
      <c r="B66" s="4" t="n"/>
      <c r="C66" s="4" t="n"/>
      <c r="D66" s="5" t="n"/>
      <c r="E66" s="5" t="n"/>
      <c r="F66" s="6">
        <f>IFERROR((D66-E66)^2,"")</f>
        <v/>
      </c>
      <c r="G66" s="4">
        <f>IF(D66="","",IF(D66&lt;0.2,"0-20%",IF(D66&lt;0.4,"20-40%",IF(D66&lt;0.6,"40-60%",IF(D66&lt;0.8,"60-80%","80-100%")))))</f>
        <v/>
      </c>
    </row>
    <row r="67">
      <c r="A67" s="4" t="n"/>
      <c r="B67" s="4" t="n"/>
      <c r="C67" s="4" t="n"/>
      <c r="D67" s="5" t="n"/>
      <c r="E67" s="5" t="n"/>
      <c r="F67" s="6">
        <f>IFERROR((D67-E67)^2,"")</f>
        <v/>
      </c>
      <c r="G67" s="4">
        <f>IF(D67="","",IF(D67&lt;0.2,"0-20%",IF(D67&lt;0.4,"20-40%",IF(D67&lt;0.6,"40-60%",IF(D67&lt;0.8,"60-80%","80-100%")))))</f>
        <v/>
      </c>
    </row>
    <row r="68">
      <c r="A68" s="4" t="n"/>
      <c r="B68" s="4" t="n"/>
      <c r="C68" s="4" t="n"/>
      <c r="D68" s="5" t="n"/>
      <c r="E68" s="5" t="n"/>
      <c r="F68" s="6">
        <f>IFERROR((D68-E68)^2,"")</f>
        <v/>
      </c>
      <c r="G68" s="4">
        <f>IF(D68="","",IF(D68&lt;0.2,"0-20%",IF(D68&lt;0.4,"20-40%",IF(D68&lt;0.6,"40-60%",IF(D68&lt;0.8,"60-80%","80-100%")))))</f>
        <v/>
      </c>
    </row>
    <row r="69">
      <c r="A69" s="4" t="n"/>
      <c r="B69" s="4" t="n"/>
      <c r="C69" s="4" t="n"/>
      <c r="D69" s="5" t="n"/>
      <c r="E69" s="5" t="n"/>
      <c r="F69" s="6">
        <f>IFERROR((D69-E69)^2,"")</f>
        <v/>
      </c>
      <c r="G69" s="4">
        <f>IF(D69="","",IF(D69&lt;0.2,"0-20%",IF(D69&lt;0.4,"20-40%",IF(D69&lt;0.6,"40-60%",IF(D69&lt;0.8,"60-80%","80-100%")))))</f>
        <v/>
      </c>
    </row>
    <row r="70">
      <c r="A70" s="4" t="n"/>
      <c r="B70" s="4" t="n"/>
      <c r="C70" s="4" t="n"/>
      <c r="D70" s="5" t="n"/>
      <c r="E70" s="5" t="n"/>
      <c r="F70" s="6">
        <f>IFERROR((D70-E70)^2,"")</f>
        <v/>
      </c>
      <c r="G70" s="4">
        <f>IF(D70="","",IF(D70&lt;0.2,"0-20%",IF(D70&lt;0.4,"20-40%",IF(D70&lt;0.6,"40-60%",IF(D70&lt;0.8,"60-80%","80-100%")))))</f>
        <v/>
      </c>
    </row>
    <row r="71">
      <c r="A71" s="4" t="n"/>
      <c r="B71" s="4" t="n"/>
      <c r="C71" s="4" t="n"/>
      <c r="D71" s="5" t="n"/>
      <c r="E71" s="5" t="n"/>
      <c r="F71" s="6">
        <f>IFERROR((D71-E71)^2,"")</f>
        <v/>
      </c>
      <c r="G71" s="4">
        <f>IF(D71="","",IF(D71&lt;0.2,"0-20%",IF(D71&lt;0.4,"20-40%",IF(D71&lt;0.6,"40-60%",IF(D71&lt;0.8,"60-80%","80-100%")))))</f>
        <v/>
      </c>
    </row>
    <row r="72">
      <c r="A72" s="4" t="n"/>
      <c r="B72" s="4" t="n"/>
      <c r="C72" s="4" t="n"/>
      <c r="D72" s="5" t="n"/>
      <c r="E72" s="5" t="n"/>
      <c r="F72" s="6">
        <f>IFERROR((D72-E72)^2,"")</f>
        <v/>
      </c>
      <c r="G72" s="4">
        <f>IF(D72="","",IF(D72&lt;0.2,"0-20%",IF(D72&lt;0.4,"20-40%",IF(D72&lt;0.6,"40-60%",IF(D72&lt;0.8,"60-80%","80-100%")))))</f>
        <v/>
      </c>
    </row>
    <row r="73">
      <c r="A73" s="4" t="n"/>
      <c r="B73" s="4" t="n"/>
      <c r="C73" s="4" t="n"/>
      <c r="D73" s="5" t="n"/>
      <c r="E73" s="5" t="n"/>
      <c r="F73" s="6">
        <f>IFERROR((D73-E73)^2,"")</f>
        <v/>
      </c>
      <c r="G73" s="4">
        <f>IF(D73="","",IF(D73&lt;0.2,"0-20%",IF(D73&lt;0.4,"20-40%",IF(D73&lt;0.6,"40-60%",IF(D73&lt;0.8,"60-80%","80-100%")))))</f>
        <v/>
      </c>
    </row>
    <row r="74">
      <c r="A74" s="4" t="n"/>
      <c r="B74" s="4" t="n"/>
      <c r="C74" s="4" t="n"/>
      <c r="D74" s="5" t="n"/>
      <c r="E74" s="5" t="n"/>
      <c r="F74" s="6">
        <f>IFERROR((D74-E74)^2,"")</f>
        <v/>
      </c>
      <c r="G74" s="4">
        <f>IF(D74="","",IF(D74&lt;0.2,"0-20%",IF(D74&lt;0.4,"20-40%",IF(D74&lt;0.6,"40-60%",IF(D74&lt;0.8,"60-80%","80-100%")))))</f>
        <v/>
      </c>
    </row>
    <row r="75">
      <c r="A75" s="4" t="n"/>
      <c r="B75" s="4" t="n"/>
      <c r="C75" s="4" t="n"/>
      <c r="D75" s="5" t="n"/>
      <c r="E75" s="5" t="n"/>
      <c r="F75" s="6">
        <f>IFERROR((D75-E75)^2,"")</f>
        <v/>
      </c>
      <c r="G75" s="4">
        <f>IF(D75="","",IF(D75&lt;0.2,"0-20%",IF(D75&lt;0.4,"20-40%",IF(D75&lt;0.6,"40-60%",IF(D75&lt;0.8,"60-80%","80-100%")))))</f>
        <v/>
      </c>
    </row>
    <row r="76">
      <c r="A76" s="4" t="n"/>
      <c r="B76" s="4" t="n"/>
      <c r="C76" s="4" t="n"/>
      <c r="D76" s="5" t="n"/>
      <c r="E76" s="5" t="n"/>
      <c r="F76" s="6">
        <f>IFERROR((D76-E76)^2,"")</f>
        <v/>
      </c>
      <c r="G76" s="4">
        <f>IF(D76="","",IF(D76&lt;0.2,"0-20%",IF(D76&lt;0.4,"20-40%",IF(D76&lt;0.6,"40-60%",IF(D76&lt;0.8,"60-80%","80-100%")))))</f>
        <v/>
      </c>
    </row>
    <row r="77">
      <c r="A77" s="4" t="n"/>
      <c r="B77" s="4" t="n"/>
      <c r="C77" s="4" t="n"/>
      <c r="D77" s="5" t="n"/>
      <c r="E77" s="5" t="n"/>
      <c r="F77" s="6">
        <f>IFERROR((D77-E77)^2,"")</f>
        <v/>
      </c>
      <c r="G77" s="4">
        <f>IF(D77="","",IF(D77&lt;0.2,"0-20%",IF(D77&lt;0.4,"20-40%",IF(D77&lt;0.6,"40-60%",IF(D77&lt;0.8,"60-80%","80-100%")))))</f>
        <v/>
      </c>
    </row>
    <row r="78">
      <c r="A78" s="4" t="n"/>
      <c r="B78" s="4" t="n"/>
      <c r="C78" s="4" t="n"/>
      <c r="D78" s="5" t="n"/>
      <c r="E78" s="5" t="n"/>
      <c r="F78" s="6">
        <f>IFERROR((D78-E78)^2,"")</f>
        <v/>
      </c>
      <c r="G78" s="4">
        <f>IF(D78="","",IF(D78&lt;0.2,"0-20%",IF(D78&lt;0.4,"20-40%",IF(D78&lt;0.6,"40-60%",IF(D78&lt;0.8,"60-80%","80-100%")))))</f>
        <v/>
      </c>
    </row>
    <row r="79">
      <c r="A79" s="4" t="n"/>
      <c r="B79" s="4" t="n"/>
      <c r="C79" s="4" t="n"/>
      <c r="D79" s="5" t="n"/>
      <c r="E79" s="5" t="n"/>
      <c r="F79" s="6">
        <f>IFERROR((D79-E79)^2,"")</f>
        <v/>
      </c>
      <c r="G79" s="4">
        <f>IF(D79="","",IF(D79&lt;0.2,"0-20%",IF(D79&lt;0.4,"20-40%",IF(D79&lt;0.6,"40-60%",IF(D79&lt;0.8,"60-80%","80-100%")))))</f>
        <v/>
      </c>
    </row>
    <row r="80">
      <c r="A80" s="4" t="n"/>
      <c r="B80" s="4" t="n"/>
      <c r="C80" s="4" t="n"/>
      <c r="D80" s="5" t="n"/>
      <c r="E80" s="5" t="n"/>
      <c r="F80" s="6">
        <f>IFERROR((D80-E80)^2,"")</f>
        <v/>
      </c>
      <c r="G80" s="4">
        <f>IF(D80="","",IF(D80&lt;0.2,"0-20%",IF(D80&lt;0.4,"20-40%",IF(D80&lt;0.6,"40-60%",IF(D80&lt;0.8,"60-80%","80-100%")))))</f>
        <v/>
      </c>
    </row>
    <row r="81">
      <c r="A81" s="4" t="n"/>
      <c r="B81" s="4" t="n"/>
      <c r="C81" s="4" t="n"/>
      <c r="D81" s="5" t="n"/>
      <c r="E81" s="5" t="n"/>
      <c r="F81" s="6">
        <f>IFERROR((D81-E81)^2,"")</f>
        <v/>
      </c>
      <c r="G81" s="4">
        <f>IF(D81="","",IF(D81&lt;0.2,"0-20%",IF(D81&lt;0.4,"20-40%",IF(D81&lt;0.6,"40-60%",IF(D81&lt;0.8,"60-80%","80-100%")))))</f>
        <v/>
      </c>
    </row>
    <row r="82">
      <c r="A82" s="4" t="n"/>
      <c r="B82" s="4" t="n"/>
      <c r="C82" s="4" t="n"/>
      <c r="D82" s="5" t="n"/>
      <c r="E82" s="5" t="n"/>
      <c r="F82" s="6">
        <f>IFERROR((D82-E82)^2,"")</f>
        <v/>
      </c>
      <c r="G82" s="4">
        <f>IF(D82="","",IF(D82&lt;0.2,"0-20%",IF(D82&lt;0.4,"20-40%",IF(D82&lt;0.6,"40-60%",IF(D82&lt;0.8,"60-80%","80-100%")))))</f>
        <v/>
      </c>
    </row>
    <row r="83">
      <c r="A83" s="4" t="n"/>
      <c r="B83" s="4" t="n"/>
      <c r="C83" s="4" t="n"/>
      <c r="D83" s="5" t="n"/>
      <c r="E83" s="5" t="n"/>
      <c r="F83" s="6">
        <f>IFERROR((D83-E83)^2,"")</f>
        <v/>
      </c>
      <c r="G83" s="4">
        <f>IF(D83="","",IF(D83&lt;0.2,"0-20%",IF(D83&lt;0.4,"20-40%",IF(D83&lt;0.6,"40-60%",IF(D83&lt;0.8,"60-80%","80-100%")))))</f>
        <v/>
      </c>
    </row>
    <row r="84">
      <c r="A84" s="4" t="n"/>
      <c r="B84" s="4" t="n"/>
      <c r="C84" s="4" t="n"/>
      <c r="D84" s="5" t="n"/>
      <c r="E84" s="5" t="n"/>
      <c r="F84" s="6">
        <f>IFERROR((D84-E84)^2,"")</f>
        <v/>
      </c>
      <c r="G84" s="4">
        <f>IF(D84="","",IF(D84&lt;0.2,"0-20%",IF(D84&lt;0.4,"20-40%",IF(D84&lt;0.6,"40-60%",IF(D84&lt;0.8,"60-80%","80-100%")))))</f>
        <v/>
      </c>
    </row>
    <row r="85">
      <c r="A85" s="4" t="n"/>
      <c r="B85" s="4" t="n"/>
      <c r="C85" s="4" t="n"/>
      <c r="D85" s="5" t="n"/>
      <c r="E85" s="5" t="n"/>
      <c r="F85" s="6">
        <f>IFERROR((D85-E85)^2,"")</f>
        <v/>
      </c>
      <c r="G85" s="4">
        <f>IF(D85="","",IF(D85&lt;0.2,"0-20%",IF(D85&lt;0.4,"20-40%",IF(D85&lt;0.6,"40-60%",IF(D85&lt;0.8,"60-80%","80-100%")))))</f>
        <v/>
      </c>
    </row>
    <row r="86">
      <c r="A86" s="4" t="n"/>
      <c r="B86" s="4" t="n"/>
      <c r="C86" s="4" t="n"/>
      <c r="D86" s="5" t="n"/>
      <c r="E86" s="5" t="n"/>
      <c r="F86" s="6">
        <f>IFERROR((D86-E86)^2,"")</f>
        <v/>
      </c>
      <c r="G86" s="4">
        <f>IF(D86="","",IF(D86&lt;0.2,"0-20%",IF(D86&lt;0.4,"20-40%",IF(D86&lt;0.6,"40-60%",IF(D86&lt;0.8,"60-80%","80-100%")))))</f>
        <v/>
      </c>
    </row>
    <row r="87">
      <c r="A87" s="4" t="n"/>
      <c r="B87" s="4" t="n"/>
      <c r="C87" s="4" t="n"/>
      <c r="D87" s="5" t="n"/>
      <c r="E87" s="5" t="n"/>
      <c r="F87" s="6">
        <f>IFERROR((D87-E87)^2,"")</f>
        <v/>
      </c>
      <c r="G87" s="4">
        <f>IF(D87="","",IF(D87&lt;0.2,"0-20%",IF(D87&lt;0.4,"20-40%",IF(D87&lt;0.6,"40-60%",IF(D87&lt;0.8,"60-80%","80-100%")))))</f>
        <v/>
      </c>
    </row>
    <row r="88">
      <c r="A88" s="4" t="n"/>
      <c r="B88" s="4" t="n"/>
      <c r="C88" s="4" t="n"/>
      <c r="D88" s="5" t="n"/>
      <c r="E88" s="5" t="n"/>
      <c r="F88" s="6">
        <f>IFERROR((D88-E88)^2,"")</f>
        <v/>
      </c>
      <c r="G88" s="4">
        <f>IF(D88="","",IF(D88&lt;0.2,"0-20%",IF(D88&lt;0.4,"20-40%",IF(D88&lt;0.6,"40-60%",IF(D88&lt;0.8,"60-80%","80-100%")))))</f>
        <v/>
      </c>
    </row>
    <row r="89">
      <c r="A89" s="4" t="n"/>
      <c r="B89" s="4" t="n"/>
      <c r="C89" s="4" t="n"/>
      <c r="D89" s="5" t="n"/>
      <c r="E89" s="5" t="n"/>
      <c r="F89" s="6">
        <f>IFERROR((D89-E89)^2,"")</f>
        <v/>
      </c>
      <c r="G89" s="4">
        <f>IF(D89="","",IF(D89&lt;0.2,"0-20%",IF(D89&lt;0.4,"20-40%",IF(D89&lt;0.6,"40-60%",IF(D89&lt;0.8,"60-80%","80-100%")))))</f>
        <v/>
      </c>
    </row>
    <row r="90">
      <c r="A90" s="4" t="n"/>
      <c r="B90" s="4" t="n"/>
      <c r="C90" s="4" t="n"/>
      <c r="D90" s="5" t="n"/>
      <c r="E90" s="5" t="n"/>
      <c r="F90" s="6">
        <f>IFERROR((D90-E90)^2,"")</f>
        <v/>
      </c>
      <c r="G90" s="4">
        <f>IF(D90="","",IF(D90&lt;0.2,"0-20%",IF(D90&lt;0.4,"20-40%",IF(D90&lt;0.6,"40-60%",IF(D90&lt;0.8,"60-80%","80-100%")))))</f>
        <v/>
      </c>
    </row>
    <row r="91">
      <c r="A91" s="4" t="n"/>
      <c r="B91" s="4" t="n"/>
      <c r="C91" s="4" t="n"/>
      <c r="D91" s="5" t="n"/>
      <c r="E91" s="5" t="n"/>
      <c r="F91" s="6">
        <f>IFERROR((D91-E91)^2,"")</f>
        <v/>
      </c>
      <c r="G91" s="4">
        <f>IF(D91="","",IF(D91&lt;0.2,"0-20%",IF(D91&lt;0.4,"20-40%",IF(D91&lt;0.6,"40-60%",IF(D91&lt;0.8,"60-80%","80-100%")))))</f>
        <v/>
      </c>
    </row>
    <row r="92">
      <c r="A92" s="4" t="n"/>
      <c r="B92" s="4" t="n"/>
      <c r="C92" s="4" t="n"/>
      <c r="D92" s="5" t="n"/>
      <c r="E92" s="5" t="n"/>
      <c r="F92" s="6">
        <f>IFERROR((D92-E92)^2,"")</f>
        <v/>
      </c>
      <c r="G92" s="4">
        <f>IF(D92="","",IF(D92&lt;0.2,"0-20%",IF(D92&lt;0.4,"20-40%",IF(D92&lt;0.6,"40-60%",IF(D92&lt;0.8,"60-80%","80-100%")))))</f>
        <v/>
      </c>
    </row>
    <row r="93">
      <c r="A93" s="4" t="n"/>
      <c r="B93" s="4" t="n"/>
      <c r="C93" s="4" t="n"/>
      <c r="D93" s="5" t="n"/>
      <c r="E93" s="5" t="n"/>
      <c r="F93" s="6">
        <f>IFERROR((D93-E93)^2,"")</f>
        <v/>
      </c>
      <c r="G93" s="4">
        <f>IF(D93="","",IF(D93&lt;0.2,"0-20%",IF(D93&lt;0.4,"20-40%",IF(D93&lt;0.6,"40-60%",IF(D93&lt;0.8,"60-80%","80-100%")))))</f>
        <v/>
      </c>
    </row>
    <row r="94">
      <c r="A94" s="4" t="n"/>
      <c r="B94" s="4" t="n"/>
      <c r="C94" s="4" t="n"/>
      <c r="D94" s="5" t="n"/>
      <c r="E94" s="5" t="n"/>
      <c r="F94" s="6">
        <f>IFERROR((D94-E94)^2,"")</f>
        <v/>
      </c>
      <c r="G94" s="4">
        <f>IF(D94="","",IF(D94&lt;0.2,"0-20%",IF(D94&lt;0.4,"20-40%",IF(D94&lt;0.6,"40-60%",IF(D94&lt;0.8,"60-80%","80-100%")))))</f>
        <v/>
      </c>
    </row>
    <row r="95">
      <c r="A95" s="4" t="n"/>
      <c r="B95" s="4" t="n"/>
      <c r="C95" s="4" t="n"/>
      <c r="D95" s="5" t="n"/>
      <c r="E95" s="5" t="n"/>
      <c r="F95" s="6">
        <f>IFERROR((D95-E95)^2,"")</f>
        <v/>
      </c>
      <c r="G95" s="4">
        <f>IF(D95="","",IF(D95&lt;0.2,"0-20%",IF(D95&lt;0.4,"20-40%",IF(D95&lt;0.6,"40-60%",IF(D95&lt;0.8,"60-80%","80-100%")))))</f>
        <v/>
      </c>
    </row>
    <row r="96">
      <c r="A96" s="4" t="n"/>
      <c r="B96" s="4" t="n"/>
      <c r="C96" s="4" t="n"/>
      <c r="D96" s="5" t="n"/>
      <c r="E96" s="5" t="n"/>
      <c r="F96" s="6">
        <f>IFERROR((D96-E96)^2,"")</f>
        <v/>
      </c>
      <c r="G96" s="4">
        <f>IF(D96="","",IF(D96&lt;0.2,"0-20%",IF(D96&lt;0.4,"20-40%",IF(D96&lt;0.6,"40-60%",IF(D96&lt;0.8,"60-80%","80-100%")))))</f>
        <v/>
      </c>
    </row>
    <row r="97">
      <c r="A97" s="4" t="n"/>
      <c r="B97" s="4" t="n"/>
      <c r="C97" s="4" t="n"/>
      <c r="D97" s="5" t="n"/>
      <c r="E97" s="5" t="n"/>
      <c r="F97" s="6">
        <f>IFERROR((D97-E97)^2,"")</f>
        <v/>
      </c>
      <c r="G97" s="4">
        <f>IF(D97="","",IF(D97&lt;0.2,"0-20%",IF(D97&lt;0.4,"20-40%",IF(D97&lt;0.6,"40-60%",IF(D97&lt;0.8,"60-80%","80-100%")))))</f>
        <v/>
      </c>
    </row>
    <row r="98">
      <c r="A98" s="4" t="n"/>
      <c r="B98" s="4" t="n"/>
      <c r="C98" s="4" t="n"/>
      <c r="D98" s="5" t="n"/>
      <c r="E98" s="5" t="n"/>
      <c r="F98" s="6">
        <f>IFERROR((D98-E98)^2,"")</f>
        <v/>
      </c>
      <c r="G98" s="4">
        <f>IF(D98="","",IF(D98&lt;0.2,"0-20%",IF(D98&lt;0.4,"20-40%",IF(D98&lt;0.6,"40-60%",IF(D98&lt;0.8,"60-80%","80-100%")))))</f>
        <v/>
      </c>
    </row>
    <row r="99">
      <c r="A99" s="4" t="n"/>
      <c r="B99" s="4" t="n"/>
      <c r="C99" s="4" t="n"/>
      <c r="D99" s="5" t="n"/>
      <c r="E99" s="5" t="n"/>
      <c r="F99" s="6">
        <f>IFERROR((D99-E99)^2,"")</f>
        <v/>
      </c>
      <c r="G99" s="4">
        <f>IF(D99="","",IF(D99&lt;0.2,"0-20%",IF(D99&lt;0.4,"20-40%",IF(D99&lt;0.6,"40-60%",IF(D99&lt;0.8,"60-80%","80-100%")))))</f>
        <v/>
      </c>
    </row>
    <row r="100">
      <c r="A100" s="4" t="n"/>
      <c r="B100" s="4" t="n"/>
      <c r="C100" s="4" t="n"/>
      <c r="D100" s="5" t="n"/>
      <c r="E100" s="5" t="n"/>
      <c r="F100" s="6">
        <f>IFERROR((D100-E100)^2,"")</f>
        <v/>
      </c>
      <c r="G100" s="4">
        <f>IF(D100="","",IF(D100&lt;0.2,"0-20%",IF(D100&lt;0.4,"20-40%",IF(D100&lt;0.6,"40-60%",IF(D100&lt;0.8,"60-80%","80-100%")))))</f>
        <v/>
      </c>
    </row>
    <row r="101">
      <c r="A101" s="4" t="n"/>
      <c r="B101" s="4" t="n"/>
      <c r="C101" s="4" t="n"/>
      <c r="D101" s="5" t="n"/>
      <c r="E101" s="5" t="n"/>
      <c r="F101" s="6">
        <f>IFERROR((D101-E101)^2,"")</f>
        <v/>
      </c>
      <c r="G101" s="4">
        <f>IF(D101="","",IF(D101&lt;0.2,"0-20%",IF(D101&lt;0.4,"20-40%",IF(D101&lt;0.6,"40-60%",IF(D101&lt;0.8,"60-80%","80-100%")))))</f>
        <v/>
      </c>
    </row>
    <row r="102">
      <c r="A102" s="4" t="n"/>
      <c r="B102" s="4" t="n"/>
      <c r="C102" s="4" t="n"/>
      <c r="D102" s="5" t="n"/>
      <c r="E102" s="5" t="n"/>
      <c r="F102" s="6">
        <f>IFERROR((D102-E102)^2,"")</f>
        <v/>
      </c>
      <c r="G102" s="4">
        <f>IF(D102="","",IF(D102&lt;0.2,"0-20%",IF(D102&lt;0.4,"20-40%",IF(D102&lt;0.6,"40-60%",IF(D102&lt;0.8,"60-80%","80-100%")))))</f>
        <v/>
      </c>
    </row>
    <row r="103">
      <c r="A103" s="4" t="n"/>
      <c r="B103" s="4" t="n"/>
      <c r="C103" s="4" t="n"/>
      <c r="D103" s="5" t="n"/>
      <c r="E103" s="5" t="n"/>
      <c r="F103" s="6">
        <f>IFERROR((D103-E103)^2,"")</f>
        <v/>
      </c>
      <c r="G103" s="4">
        <f>IF(D103="","",IF(D103&lt;0.2,"0-20%",IF(D103&lt;0.4,"20-40%",IF(D103&lt;0.6,"40-60%",IF(D103&lt;0.8,"60-80%","80-100%")))))</f>
        <v/>
      </c>
    </row>
    <row r="104">
      <c r="A104" s="4" t="n"/>
      <c r="B104" s="4" t="n"/>
      <c r="C104" s="4" t="n"/>
      <c r="D104" s="5" t="n"/>
      <c r="E104" s="5" t="n"/>
      <c r="F104" s="6">
        <f>IFERROR((D104-E104)^2,"")</f>
        <v/>
      </c>
      <c r="G104" s="4">
        <f>IF(D104="","",IF(D104&lt;0.2,"0-20%",IF(D104&lt;0.4,"20-40%",IF(D104&lt;0.6,"40-60%",IF(D104&lt;0.8,"60-80%","80-100%")))))</f>
        <v/>
      </c>
    </row>
    <row r="107">
      <c r="A107" s="7" t="inlineStr">
        <is>
          <t>ECE (Expected Calibration Error)</t>
        </is>
      </c>
    </row>
    <row r="108">
      <c r="A108" s="2" t="inlineStr">
        <is>
          <t>(Compute from bin averages — lower is better. Target &lt; 0.10)</t>
        </is>
      </c>
    </row>
    <row r="110">
      <c r="A110" s="3" t="inlineStr">
        <is>
          <t>Confidence Bin</t>
        </is>
      </c>
      <c r="B110" s="3" t="inlineStr">
        <is>
          <t>Count</t>
        </is>
      </c>
      <c r="C110" s="3" t="inlineStr">
        <is>
          <t>Avg Confidence</t>
        </is>
      </c>
      <c r="D110" s="3" t="inlineStr">
        <is>
          <t>Avg Outcome</t>
        </is>
      </c>
      <c r="E110" s="3" t="inlineStr">
        <is>
          <t>|Gap|</t>
        </is>
      </c>
      <c r="F110" s="3" t="inlineStr">
        <is>
          <t>Weighted |Gap|</t>
        </is>
      </c>
    </row>
    <row r="111">
      <c r="A111" s="4" t="inlineStr">
        <is>
          <t>0-20%</t>
        </is>
      </c>
      <c r="B111" s="5" t="n"/>
      <c r="C111" s="5" t="n"/>
      <c r="D111" s="5" t="n"/>
      <c r="E111" s="5" t="n"/>
      <c r="F111" s="5" t="n"/>
    </row>
    <row r="112">
      <c r="A112" s="4" t="inlineStr">
        <is>
          <t>20-40%</t>
        </is>
      </c>
      <c r="B112" s="5" t="n"/>
      <c r="C112" s="5" t="n"/>
      <c r="D112" s="5" t="n"/>
      <c r="E112" s="5" t="n"/>
      <c r="F112" s="5" t="n"/>
    </row>
    <row r="113">
      <c r="A113" s="4" t="inlineStr">
        <is>
          <t>40-60%</t>
        </is>
      </c>
      <c r="B113" s="5" t="n"/>
      <c r="C113" s="5" t="n"/>
      <c r="D113" s="5" t="n"/>
      <c r="E113" s="5" t="n"/>
      <c r="F113" s="5" t="n"/>
    </row>
    <row r="114">
      <c r="A114" s="4" t="inlineStr">
        <is>
          <t>60-80%</t>
        </is>
      </c>
      <c r="B114" s="5" t="n"/>
      <c r="C114" s="5" t="n"/>
      <c r="D114" s="5" t="n"/>
      <c r="E114" s="5" t="n"/>
      <c r="F114" s="5" t="n"/>
    </row>
    <row r="115">
      <c r="A115" s="4" t="inlineStr">
        <is>
          <t>80-100%</t>
        </is>
      </c>
      <c r="B115" s="5" t="n"/>
      <c r="C115" s="5" t="n"/>
      <c r="D115" s="5" t="n"/>
      <c r="E115" s="5" t="n"/>
      <c r="F115" s="5" t="n"/>
    </row>
    <row r="117">
      <c r="A117" s="11" t="inlineStr">
        <is>
          <t>ECE =</t>
        </is>
      </c>
      <c r="B117" s="8">
        <f>IFERROR(SUM(F111:F115),"")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8" customWidth="1" min="4" max="4"/>
    <col width="30" customWidth="1" min="5" max="5"/>
    <col width="14" customWidth="1" min="6" max="6"/>
  </cols>
  <sheetData>
    <row r="1">
      <c r="A1" s="1" t="inlineStr">
        <is>
          <t>MATURITY MODEL TRACKER</t>
        </is>
      </c>
    </row>
    <row r="4">
      <c r="A4" s="3" t="inlineStr">
        <is>
          <t>Level</t>
        </is>
      </c>
      <c r="B4" s="3" t="inlineStr">
        <is>
          <t>Name</t>
        </is>
      </c>
      <c r="C4" s="3" t="inlineStr">
        <is>
          <t>Criteria</t>
        </is>
      </c>
      <c r="D4" s="3" t="inlineStr">
        <is>
          <t>Met?</t>
        </is>
      </c>
      <c r="E4" s="3" t="inlineStr">
        <is>
          <t>Evidence</t>
        </is>
      </c>
      <c r="F4" s="3" t="inlineStr">
        <is>
          <t>Date Achieved</t>
        </is>
      </c>
    </row>
    <row r="5">
      <c r="A5" s="12" t="n">
        <v>1</v>
      </c>
      <c r="B5" s="12" t="inlineStr">
        <is>
          <t>Ad Hoc</t>
        </is>
      </c>
      <c r="C5" s="13" t="inlineStr">
        <is>
          <t>Phases inconsistent. Intuitive selection. &lt;25% documented.</t>
        </is>
      </c>
      <c r="D5" s="14" t="n"/>
      <c r="E5" s="15" t="n"/>
      <c r="F5" s="15" t="n"/>
    </row>
    <row r="6">
      <c r="A6" s="12" t="n">
        <v>2</v>
      </c>
      <c r="B6" s="12" t="inlineStr">
        <is>
          <t>Defined</t>
        </is>
      </c>
      <c r="C6" s="13" t="inlineStr">
        <is>
          <t>All 6 phases with templates. Roles defined. &gt;80% template usage.</t>
        </is>
      </c>
      <c r="D6" s="14" t="n"/>
      <c r="E6" s="15" t="n"/>
      <c r="F6" s="15" t="n"/>
    </row>
    <row r="7">
      <c r="A7" s="12" t="n">
        <v>3</v>
      </c>
      <c r="B7" s="12" t="inlineStr">
        <is>
          <t>Quantitative</t>
        </is>
      </c>
      <c r="C7" s="13" t="inlineStr">
        <is>
          <t>Bayesian gates active. EVPI stopping. DQ scoring. Brier tracked. All gates pass.</t>
        </is>
      </c>
      <c r="D7" s="14" t="n"/>
      <c r="E7" s="15" t="n"/>
      <c r="F7" s="15" t="n"/>
    </row>
    <row r="8">
      <c r="A8" s="12" t="n">
        <v>4</v>
      </c>
      <c r="B8" s="12" t="inlineStr">
        <is>
          <t>Managed</t>
        </is>
      </c>
      <c r="C8" s="13" t="inlineStr">
        <is>
          <t>3 loops operating. Meta-DB active. Calibration tracked. Accuracy improving 12mo.</t>
        </is>
      </c>
      <c r="D8" s="14" t="n"/>
      <c r="E8" s="15" t="n"/>
      <c r="F8" s="15" t="n"/>
    </row>
    <row r="9">
      <c r="A9" s="12" t="n">
        <v>5</v>
      </c>
      <c r="B9" s="12" t="inlineStr">
        <is>
          <t>Optimizing</t>
        </is>
      </c>
      <c r="C9" s="13" t="inlineStr">
        <is>
          <t>Data flywheel. Auto recommendations. A/B workflow tests. Accuracy &gt;85%. Brier &lt;0.15.</t>
        </is>
      </c>
      <c r="D9" s="14" t="n"/>
      <c r="E9" s="15" t="n"/>
      <c r="F9" s="15" t="n"/>
    </row>
    <row r="11">
      <c r="A11" s="7" t="inlineStr">
        <is>
          <t>Current Level</t>
        </is>
      </c>
      <c r="B11" s="16" t="n"/>
    </row>
    <row r="12">
      <c r="A12" s="9" t="inlineStr">
        <is>
          <t>Target Level</t>
        </is>
      </c>
      <c r="B12" s="16" t="n"/>
    </row>
    <row r="13">
      <c r="A13" s="9" t="inlineStr">
        <is>
          <t>Gap Actions</t>
        </is>
      </c>
      <c r="B13" s="16" t="n"/>
    </row>
  </sheetData>
  <mergeCells count="1"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2026-03-30T05:19:34Z</dcterms:created>
  <dcterms:modified xmlns:dcterms="http://purl.org/dc/terms/" xmlns:xsi="http://www.w3.org/2001/XMLSchema-instance" xsi:type="dcterms:W3CDTF">2026-03-30T05:25:45Z</dcterms:modified>
</cp:coreProperties>
</file>